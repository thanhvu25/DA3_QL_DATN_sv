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D:\DATA\_DA\DA3\Data &amp; Documents\"/>
    </mc:Choice>
  </mc:AlternateContent>
  <xr:revisionPtr revIDLastSave="0" documentId="13_ncr:1_{225FFE7F-1582-4610-BCA7-AEB9923B910D}" xr6:coauthVersionLast="47" xr6:coauthVersionMax="47" xr10:uidLastSave="{00000000-0000-0000-0000-000000000000}"/>
  <bookViews>
    <workbookView xWindow="6240" yWindow="2070" windowWidth="12450" windowHeight="13185" tabRatio="746" firstSheet="9" activeTab="10" xr2:uid="{00000000-000D-0000-FFFF-FFFF00000000}"/>
  </bookViews>
  <sheets>
    <sheet name="TC list" sheetId="12" r:id="rId1"/>
    <sheet name="1. Cập nhật thông tin" sheetId="2" r:id="rId2"/>
    <sheet name="2. Đăng ký ĐT" sheetId="3" r:id="rId3"/>
    <sheet name="3. Đề xuất ĐT" sheetId="4" r:id="rId4"/>
    <sheet name="4. Xem trạng thái ĐK" sheetId="5" r:id="rId5"/>
    <sheet name="5. Xem quy trình HD" sheetId="6" r:id="rId6"/>
    <sheet name="6. Nộp BC tuần" sheetId="7" r:id="rId7"/>
    <sheet name="7. Nộp BC cuối" sheetId="8" r:id="rId8"/>
    <sheet name="8. Xem phản biện" sheetId="9" r:id="rId9"/>
    <sheet name="9. Xem hội đồng" sheetId="10" r:id="rId10"/>
    <sheet name="10. Đăng nhập" sheetId="1" r:id="rId11"/>
    <sheet name="Hệ thống" sheetId="11" r:id="rId12"/>
    <sheet name="Report" sheetId="13" r:id="rId13"/>
  </sheets>
  <externalReferences>
    <externalReference r:id="rId14"/>
    <externalReference r:id="rId1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3" l="1"/>
  <c r="H12" i="13"/>
  <c r="H13" i="13"/>
  <c r="H14" i="13"/>
  <c r="H15" i="13"/>
  <c r="H16" i="13"/>
  <c r="H17" i="13"/>
  <c r="H18" i="13"/>
  <c r="H19" i="13"/>
  <c r="H20" i="13"/>
  <c r="H21" i="13"/>
  <c r="C12" i="13"/>
  <c r="C11" i="13"/>
  <c r="C4" i="13"/>
  <c r="C5" i="13" s="1"/>
  <c r="H3" i="13"/>
  <c r="C3" i="13"/>
  <c r="H6" i="11"/>
  <c r="H5" i="11"/>
  <c r="H4" i="11"/>
  <c r="H3" i="11"/>
  <c r="H2" i="11"/>
  <c r="H6" i="1"/>
  <c r="H5" i="1"/>
  <c r="H4" i="1"/>
  <c r="H3" i="1"/>
  <c r="H2" i="1"/>
  <c r="H6" i="10"/>
  <c r="H5" i="10"/>
  <c r="H4" i="10"/>
  <c r="H3" i="10"/>
  <c r="H2" i="10"/>
  <c r="H6" i="9"/>
  <c r="H5" i="9"/>
  <c r="H4" i="9"/>
  <c r="H3" i="9"/>
  <c r="H2" i="9"/>
  <c r="H6" i="8"/>
  <c r="H5" i="8"/>
  <c r="H4" i="8"/>
  <c r="H3" i="8"/>
  <c r="H2" i="8"/>
  <c r="H6" i="7"/>
  <c r="H5" i="7"/>
  <c r="H4" i="7"/>
  <c r="H3" i="7"/>
  <c r="H2" i="7"/>
  <c r="H6" i="6"/>
  <c r="H5" i="6"/>
  <c r="H4" i="6"/>
  <c r="H3" i="6"/>
  <c r="H2" i="6"/>
  <c r="H3" i="5"/>
  <c r="H6" i="5"/>
  <c r="H5" i="5"/>
  <c r="H4" i="5"/>
  <c r="H2" i="5"/>
  <c r="H3" i="4"/>
  <c r="H6" i="4"/>
  <c r="H5" i="4"/>
  <c r="H4" i="4"/>
  <c r="H2" i="4"/>
  <c r="H6" i="3"/>
  <c r="H5" i="3"/>
  <c r="H4" i="3"/>
  <c r="H3" i="3"/>
  <c r="H2" i="3"/>
  <c r="H6" i="2"/>
  <c r="H5" i="2"/>
  <c r="H4" i="2"/>
  <c r="H3" i="2"/>
  <c r="H2" i="2"/>
  <c r="C20" i="13"/>
  <c r="C19" i="13"/>
  <c r="C18" i="13"/>
  <c r="C17" i="13"/>
  <c r="C16" i="13"/>
  <c r="C15" i="13"/>
  <c r="C14" i="13"/>
  <c r="C13" i="13"/>
  <c r="D19" i="12"/>
  <c r="D18" i="12"/>
  <c r="D17" i="12"/>
  <c r="D16" i="12"/>
  <c r="D14" i="12"/>
  <c r="D12" i="12"/>
  <c r="D9" i="12"/>
  <c r="D10" i="12"/>
  <c r="D11" i="12"/>
  <c r="D13" i="12"/>
  <c r="D15" i="12"/>
  <c r="D4" i="12"/>
  <c r="D3" i="12"/>
  <c r="C2" i="11"/>
  <c r="C2" i="10"/>
  <c r="C2" i="9"/>
  <c r="C2" i="8"/>
  <c r="C2" i="7"/>
  <c r="C2" i="6"/>
  <c r="C2" i="5"/>
  <c r="C2" i="4"/>
  <c r="C2" i="3"/>
  <c r="C2" i="2"/>
  <c r="C2" i="1"/>
  <c r="C6" i="9" l="1"/>
  <c r="C6" i="7"/>
  <c r="C6" i="6"/>
  <c r="C6" i="5"/>
  <c r="C6" i="3"/>
  <c r="F22" i="13"/>
  <c r="G22" i="13"/>
  <c r="D22" i="13"/>
  <c r="E22" i="13"/>
  <c r="C6" i="11"/>
  <c r="C6" i="10"/>
  <c r="C6" i="8"/>
  <c r="C6" i="4"/>
  <c r="C6" i="2"/>
  <c r="C6" i="1"/>
  <c r="D25" i="13" l="1"/>
  <c r="H22" i="13"/>
  <c r="D24" i="13" s="1"/>
</calcChain>
</file>

<file path=xl/sharedStrings.xml><?xml version="1.0" encoding="utf-8"?>
<sst xmlns="http://schemas.openxmlformats.org/spreadsheetml/2006/main" count="502" uniqueCount="254">
  <si>
    <t>Back to TestReport</t>
  </si>
  <si>
    <t>Total</t>
  </si>
  <si>
    <t>Module Code</t>
  </si>
  <si>
    <t>Đăng nhập</t>
  </si>
  <si>
    <t>Pass</t>
  </si>
  <si>
    <t>Tester</t>
  </si>
  <si>
    <t>Vu Vy Thanh</t>
  </si>
  <si>
    <t>Fail</t>
  </si>
  <si>
    <t>Untest</t>
  </si>
  <si>
    <t xml:space="preserve">Percent Complete: </t>
  </si>
  <si>
    <t>N/A</t>
  </si>
  <si>
    <t>Test Case ID</t>
  </si>
  <si>
    <t>Test Case Name</t>
  </si>
  <si>
    <t>Pre-Condition</t>
  </si>
  <si>
    <t>Test Case Steps</t>
  </si>
  <si>
    <t>Test Data (JMeter Config)</t>
  </si>
  <si>
    <t>Expected Output</t>
  </si>
  <si>
    <t>Bug ID</t>
  </si>
  <si>
    <t>Actual Result</t>
  </si>
  <si>
    <t>Note</t>
  </si>
  <si>
    <t>TC-DN-01</t>
  </si>
  <si>
    <t>Test hiệu suất với 10 user</t>
  </si>
  <si>
    <t>Có sẵn tài khoản đăng nhập cho 10 user.</t>
  </si>
  <si>
    <t>1. Tạo file users.csv chứa danh sách tài khoản test gồm username và password.
2. Tạo Test Plan mới.
3. Thêm Thread Group với Number of Threads = 10, Ramp-up Period = 20s, Loop Count = 1.
4. Thêm CSV Data Set Config và cấu hình đọc file users.csv.
5. Thêm HTTP Request Defaults với Protocol = http, Server = 14.241.80.87, Port = 9992.
6. Thêm HTTP Header Manager với Content-Type = application/x-www-form-urlencoded.
7. Thêm HTTP Cookie Manager.
8. Thêm HTTP Request POST /api/token.
9. Cấu hình Parameters: facility_id, userName=${userName}, password=${password}, grant_type=password.
10. Thêm Duration Assertion: 3000ms.
11. Thêm Listener: View Results Tree và Aggregate Report.
12. Chạy kịch bản và theo dõi thời gian phản hồi.</t>
  </si>
  <si>
    <t>Threads: 10 | Ramp-up: 20s | Loop: 1
Endpoint: POST /api/token
Params: facility_id, userName, password, grant_type=password
Duration Assertion: 3000ms</t>
  </si>
  <si>
    <t>- Response Code = 200
- Thời gian phản hồi trung bình &lt; 3s
- Error rate = 0%</t>
  </si>
  <si>
    <t>TC-DN-02</t>
  </si>
  <si>
    <t>Kiểm tra thời gian tải trang login</t>
  </si>
  <si>
    <t>- Hệ thống hoạt động bình thường.
- Có URL cần kiểm tra.</t>
  </si>
  <si>
    <t>1. Thêm Thread Group: Threads=10, Ramp-up=10s, Loop=1.
2. Thêm HTTP Request Defaults: Protocol=http, Server=14.241.80.87, Port=9993.
3. Thêm HTTP Request GET /login.
4. Thêm Duration Assertion: 3000ms.
5. Thêm Listener: View Results Tree và Aggregate Report.
6. Chạy kiểm thử và ghi nhận thời gian phản hồi.</t>
  </si>
  <si>
    <t>Threads: 10 | Ramp-up: 10s | Loop: 1
Endpoint: GET /login
URL: http://14.241.80.87:9993/login
Duration Assertion: 3000ms</t>
  </si>
  <si>
    <t>- Response Code = 200
- Thời gian tải trang &lt; 3 giây</t>
  </si>
  <si>
    <t>TC-DN-03</t>
  </si>
  <si>
    <t>Stress Test chức năng đăng nhập (100 users)</t>
  </si>
  <si>
    <t>- Có sẵn 10 tài khoản hợp lệ trong file users.csv.
- Hệ thống hoạt động ổn định.</t>
  </si>
  <si>
    <t>1. Tạo file users.csv chứa 10 tài khoản test.
2. Thêm Thread Group: Threads=100, Ramp-up=60s, Loop=1.
3. Thêm CSV Data Set Config đọc users.csv.
4. Thêm HTTP Request Defaults: Protocol=http, Server=14.241.80.87, Port=9992.
5. Thêm HTTP Header Manager: Content-Type=application/x-www-form-urlencoded.
6. Thêm HTTP Cookie Manager.
7. Thêm HTTP Request POST /api/token.
8. Cấu hình Parameters: facility_id, userName=${userName}, password=${password}, grant_type=password.
9. Thêm Listener: Aggregate Report và Summary Report.
10. Chạy kiểm thử và theo dõi số lượng request thành công/thất bại.</t>
  </si>
  <si>
    <t>Threads: 100 | Ramp-up: 60s | Loop: 1
CSV: 10 account hợp lệ (shared)
Endpoint: POST /api/token
Duration Assertion: 3000ms</t>
  </si>
  <si>
    <t>- Hệ thống không crash
- Tỷ lệ lỗi &lt; 5%
- Avg response time &lt; 3 giây</t>
  </si>
  <si>
    <t>TC-DN-04</t>
  </si>
  <si>
    <t>Load Test tăng dần đến 500 virtual users</t>
  </si>
  <si>
    <t>1. Tạo file users.csv chứa dữ liệu đăng nhập.
2. Mở JMeter và tạo Test Plan mới.
3. Thêm Thread Group: Threads tăng dần 100→200→300→400→500, Ramp-up=120s, Loop=1.
4. Thêm CSV Data Set Config đọc account test.
5. Thêm HTTP Request Defaults: Protocol=http, Server=14.241.80.87, Port=9992.
6. Thêm HTTP Header Manager: Content-Type=application/x-www-form-urlencoded.
7. Thêm HTTP Cookie Manager.
8. Thêm HTTP Request POST /api/token.
9. Cấu hình Parameters với dữ liệu login hợp lệ.
10. Thêm Duration Assertion: 10000ms.
11. Thêm Aggregate Report và Summary Report.
12. Chạy kiểm thử và ghi nhận Avg response time theo từng stage.</t>
  </si>
  <si>
    <t>Threads: 100→200→300→400→500
Ramp-up: 120s | Loop: 1
CSV: 10 account hợp lệ
Endpoint: POST /api/token
Duration Assertion: 10000ms</t>
  </si>
  <si>
    <t>- Hệ thống vẫn phản hồi request
- Không crash
- Avg response time &lt; 10 giây ở 500 users</t>
  </si>
  <si>
    <t>Cập nhật thông tin cá nhân</t>
  </si>
  <si>
    <t>TC-TT-01</t>
  </si>
  <si>
    <t>Sinh viên đã đăng nhập, có token hợp lệ.
Server đang hoạt động bình thường.</t>
  </si>
  <si>
    <t>1. Thread Group: Threads=10, Ramp-up=10s, Loop=1.
2. Bước xác thực: HTTP Request POST /api/token → trích xuất access_token bằng JSON Extractor.
3. HTTP Header Manager: Authorization=Bearer ${access_token}.
4. HTTP Request PUT /api/student/profile với body JSON: {name, phone, email, dob, gender}.
5. Duration Assertion: 3000ms.
6. Listener: Aggregate Report + View Results Tree.
7. Ghi nhận Avg/Min/Max response time.</t>
  </si>
  <si>
    <t>Threads: 10 | Ramp-up: 10s | Loop: 1
Endpoint: PUT /api/student/profile
Body: {name, phone, email, dob, gender}
Duration Assertion: 3000ms</t>
  </si>
  <si>
    <t>- Response time &lt; 3 giây
- Status code: 200
- Dữ liệu lưu thành công
- Error rate: 0%</t>
  </si>
  <si>
    <t>TC-TT-02</t>
  </si>
  <si>
    <t>Upload CV – Thời gian xử lý file PDF ≤ 10MB</t>
  </si>
  <si>
    <t>Sinh viên đã đăng nhập.
Chuẩn bị 2 file PDF: cv_5mb.pdf (5MB) và cv_10mb.pdf (10MB).</t>
  </si>
  <si>
    <t>1. Thread Group: Threads=10, Ramp-up=10s, Loop=1.
2. Bước xác thực → lấy token.
3. HTTP Request POST /api/student/upload-cv:
   - Method: POST
   - Content-Type: multipart/form-data
   - File Parameter: file=cv_5mb.pdf (lặp lại với cv_10mb.pdf)
4. Duration Assertion: 10000ms.
5. Ghi nhận thời gian upload từng file.
6. Listener: View Results Tree + Aggregate Report.</t>
  </si>
  <si>
    <t>Threads: 10 | Ramp-up: 10s | Loop: 1
Endpoint: POST /api/student/upload-cv
Content-Type: multipart/form-data
File 1: cv_5mb.pdf (5MB)
File 2: cv_10mb.pdf (10MB)
Duration Assertion: 10000ms</t>
  </si>
  <si>
    <t>- Upload file 5MB &lt; 10 giây
- Upload file 10MB &lt; 10 giây
- Status code: 200
- File lưu thành công trên server</t>
  </si>
  <si>
    <t>TC-TT-03</t>
  </si>
  <si>
    <t>Load Test tăng dần 500 Users</t>
  </si>
  <si>
    <t>500 token sinh viên hợp lệ đã được chuẩn bị trong file tokens.csv.</t>
  </si>
  <si>
    <t>1. Thread Group: Threads tăng dần 100→200→300→400→500, Ramp-up=60s, Loop=1.
2. CSV Data Set Config: tokens.csv (cột: token, studentId).
3. HTTP Request PUT /api/student/profile với Authorization header.
4. Duration Assertion: 3000ms.
5. Listener: Aggregate Report + Response Time Graph.
6. Ghi nhận Error rate, Avg response time theo từng stage.</t>
  </si>
  <si>
    <t>Threads: 100→200→300→400→500
Ramp-up: 60s | Loop: 1
CSV: 500 token hợp lệ
Endpoint: PUT /api/student/profile
Duration Assertion: 3000ms</t>
  </si>
  <si>
    <t>- Response time &lt; 3 giây
- Error rate &lt; 5%
- Hệ thống không crash
- 500 profile được lưu đúng</t>
  </si>
  <si>
    <t>Đăng ký đề tài</t>
  </si>
  <si>
    <t>TC-DK-01</t>
  </si>
  <si>
    <t>Sinh viên đã đăng nhập.
Đợt đồ án đang mở.
Có đề tài còn slot.</t>
  </si>
  <si>
    <t>Threads: 1 | Loop: 5
GET /api/topics?department=CNPM
POST /api/topics/register
Body: {topicId, studentId}
Duration Assertion: 3000ms</t>
  </si>
  <si>
    <t>- GET danh sách đề tài &lt; 3 giây
- POST đăng ký &lt; 3 giây
- Status 200
- Trạng thái: "Chờ GV xác nhận"</t>
  </si>
  <si>
    <t>TC-DK-02</t>
  </si>
  <si>
    <t>Truy xuất danh sách đề tài – Response Time với Filter</t>
  </si>
  <si>
    <t>Hệ thống có dữ liệu đề tài và giảng viên.
Sinh viên đã đăng nhập.</t>
  </si>
  <si>
    <t>1. Thread Group: 1 user, Loop=10.
2. Lấy token.
3. HTTP Request GET /api/topics?department=CNPM → ghi nhận time.
4. HTTP Request GET /api/topics?lecturer=GV_001 → ghi nhận time.
5. HTTP Request GET /api/topics?keyword=AI → ghi nhận time.
6. Duration Assertion: 3000ms mỗi request.
7. Ghi nhận response time cho từng loại filter.</t>
  </si>
  <si>
    <t>Threads: 1 | Loop: 10
Filter 1: department=CNPM
Filter 2: lecturer=GV_001
Filter 3: keyword=AI
Duration Assertion: 3000ms</t>
  </si>
  <si>
    <t>- Response time &lt; 3 giây mỗi filter
- Dữ liệu trả về đầy đủ và đúng
- Status 200 tất cả request</t>
  </si>
  <si>
    <t>TC-DK-03</t>
  </si>
  <si>
    <t>500 sinh viên chưa đăng ký đề tài.
500 đề tài còn slot.
File: students_topics.csv (studentId, topicId).</t>
  </si>
  <si>
    <t>1. Thread Group: 500 users, Ramp-up=60s, Loop=1.
2. CSV Data Set Config: students_topics.csv.
3. Lấy token cho mỗi user.
4. HTTP Request POST /api/topics/register với {studentId, topicId} riêng biệt.
5. Duration Assertion: 3000ms.
6. Sau khi chạy: truy vấn DB kiểm tra không có overbooking.
7. Listener: Aggregate Report + Error Log.</t>
  </si>
  <si>
    <t>Threads: 500 | Ramp-up: 60s | Loop: 1
CSV: 500 cặp (studentId, topicId) khác nhau
Endpoint: POST /api/topics/register
Duration Assertion: 3000ms</t>
  </si>
  <si>
    <t>- Response time &lt; 3 giây
- Error rate &lt; 5%
- Không xảy ra overbooking
- Dữ liệu nhất quán trong DB
- Hệ thống không crash</t>
  </si>
  <si>
    <t>Đề xuất đề tài</t>
  </si>
  <si>
    <t>TC-DX-01</t>
  </si>
  <si>
    <t>Đề xuất đề tài – Response Time 10 Users</t>
  </si>
  <si>
    <t>Sinh viên đã đăng nhập, chưa có đề tài.
Đợt đồ án đang mở.</t>
  </si>
  <si>
    <t>1. Thread Group: Threads=10, Ramp-up=10s, Loop=1.
2. Lấy token xác thực.
3. HTTP Request POST /api/topics/propose, body JSON: {title, description, language, lecturerId}.
4. Duration Assertion: 3000ms.
5. JSON Extractor: trích xuất topicId được sinh tự động.
6. Listener: Aggregate Report + View Results Tree.
7. Ghi nhận response time và status code.</t>
  </si>
  <si>
    <t>Threads: 10 | Ramp-up: 10s | Loop: 1
Endpoint: POST /api/topics/propose
Body: {title, description, language, lecturerId}
Duration Assertion: 3000ms</t>
  </si>
  <si>
    <t>- Response time &lt; 3 giây
- Status 200
- Mã đề tài được sinh tự động
- Error rate: 0%</t>
  </si>
  <si>
    <t>TC-DX-02</t>
  </si>
  <si>
    <t>Upload file mô tả đề tài PDF – Thời gian xử lý</t>
  </si>
  <si>
    <t>Sinh viên đã đăng nhập.
File PDF hợp lệ ≤ 30MB đã chuẩn bị sẵn.</t>
  </si>
  <si>
    <t>1. Thread Group: Threads=10, Ramp-up=10s, Loop=1.
2. Bước xác thực → lấy token.
3. HTTP Request POST /api/topics/propose với file PDF đính kèm:
   - Content-Type: multipart/form-data
   - File Parameter: descriptionFile=motadeta.pdf
4. Duration Assertion: 10000ms.
5. Ghi nhận thời gian xử lý upload.
6. Listener: View Results Tree + Aggregate Report.</t>
  </si>
  <si>
    <t>Threads: 10 | Ramp-up: 10s | Loop: 1
Endpoint: POST /api/topics/propose
Content-Type: multipart/form-data
File: motadeta.pdf (≤30MB)
Duration Assertion: 10000ms</t>
  </si>
  <si>
    <t>- Thời gian upload &lt; 10 giây với file ≤ 10MB
- Status 200
- File lưu thành công
- Error rate &lt; 5%</t>
  </si>
  <si>
    <t>TC-DX-03</t>
  </si>
  <si>
    <t>500 sinh viên chưa có đề tài.
File: proposals.csv (studentId, title, lecturerId).</t>
  </si>
  <si>
    <t>1. Thread Group: Threads tăng dần 100→200→300→400→500, Ramp-up=60s, Loop=1.
2. CSV Data Set Config: proposals.csv.
3. Lấy token cho mỗi user.
4. HTTP Request POST /api/topics/propose với dữ liệu từ CSV.
5. Duration Assertion: 3000ms.
6. Listener: Aggregate Report + Summary Report.</t>
  </si>
  <si>
    <t>Threads: 100→200→300→400→500
Ramp-up: 60s | Loop: 1
CSV: 500 bộ dữ liệu đề xuất khác nhau
Endpoint: POST /api/topics/propose
Duration Assertion: 3000ms</t>
  </si>
  <si>
    <t>- Response time &lt; 3 giây
- Error rate &lt; 5%
- Hệ thống không crash
- Mỗi đề tài được sinh mã duy nhất</t>
  </si>
  <si>
    <t>Xem trạng thái đăng ký đề tài</t>
  </si>
  <si>
    <t>TC-XTT-01</t>
  </si>
  <si>
    <t>Truy xuất trạng thái đề tài – Response Time 10 Users</t>
  </si>
  <si>
    <t>Sinh viên đã đăng nhập.
Sinh viên đã đăng ký hoặc đề xuất đề tài.</t>
  </si>
  <si>
    <t>1. Thread Group: Threads=10, Ramp-up=10s, Loop=1.
2. Lấy token xác thực.
3. HTTP Request GET /api/topics/my-status.
4. Duration Assertion: 3000ms.
5. Listener: View Results Tree + Aggregate Report.
6. Ghi nhận response time và verify trạng thái trả về.</t>
  </si>
  <si>
    <t>Threads: 10 | Ramp-up: 10s | Loop: 1
Endpoint: GET /api/topics/my-status
Duration Assertion: 3000ms</t>
  </si>
  <si>
    <t>- Response time &lt; 3 giây
- Status 200
- Trạng thái hiển thị đúng (Chờ GV/TBM xác nhận, Đã duyệt, Từ chối)
- Error rate: 0%</t>
  </si>
  <si>
    <t>TC-XTT-02</t>
  </si>
  <si>
    <t>Tìm kiếm đề tài theo filter – Response Time</t>
  </si>
  <si>
    <t>Sinh viên đã đăng nhập.
Hệ thống có dữ liệu đề tài nhiều bộ môn và giảng viên.</t>
  </si>
  <si>
    <t>1. Thread Group: 1 user, Loop=10.
2. Lấy token.
3. HTTP Request GET /api/topics?department=CNPM&amp;keyword=AI → Duration Assertion 3000ms.
4. HTTP Request GET /api/topics?lecturer=GV_001&amp;keyword=kiểm thử → Duration Assertion 3000ms.
5. Ghi nhận response time cho từng loại truy vấn.
6. Listener: Aggregate Report.</t>
  </si>
  <si>
    <t>Threads: 1 | Loop: 10
Filter 1: department=CNPM&amp;keyword=AI
Filter 2: lecturer=GV_001&amp;keyword=kiểm thử
Duration Assertion: 3000ms</t>
  </si>
  <si>
    <t>- Response time &lt; 3 giây mỗi filter
- Kết quả tìm kiếm đúng và đầy đủ
- Status 200</t>
  </si>
  <si>
    <t>TC-XTT-03</t>
  </si>
  <si>
    <t>500 sinh viên đã đăng nhập.
Mỗi sinh viên đã có đề tài.</t>
  </si>
  <si>
    <t>1. Thread Group: 500 users, Ramp-up=60s, Loop=1.
2. CSV Data Set Config: tokens.csv.
3. HTTP Request GET /api/topics/my-status.
4. Duration Assertion: 3000ms.
5. Listener: Aggregate Report + Response Time Graph.</t>
  </si>
  <si>
    <t>Threads: 100→200→300→400→500
Ramp-up: 60s | Loop: 1
Endpoint: GET /api/topics/my-status
Duration Assertion: 3000ms</t>
  </si>
  <si>
    <t>- Response time &lt; 3 giây
- Error rate &lt; 5%
- Dữ liệu trạng thái hiển thị đúng
- Hệ thống không crash</t>
  </si>
  <si>
    <t>Xem quy trình hướng dẫn</t>
  </si>
  <si>
    <t>TC-QP-01</t>
  </si>
  <si>
    <t>Xem quy trình hướng dẫn – Response Time 10 Users</t>
  </si>
  <si>
    <t>Sinh viên đã đăng nhập.
Quy trình đã được cấu hình theo đợt và ngành.</t>
  </si>
  <si>
    <t>1. Thread Group: Threads=10, Ramp-up=10s, Loop=1.
2. Lấy token.
3. HTTP Request GET /api/guidelines → Duration Assertion 3000ms (danh sách).
4. HTTP Request GET /api/guidelines/{weekId} → Duration Assertion 5000ms (chi tiết).
5. Listener: Aggregate Report + View Results Tree.
6. Ghi nhận response time danh sách và chi tiết riêng biệt.</t>
  </si>
  <si>
    <t>Threads: 10 | Ramp-up: 10s | Loop: 1
Endpoint 1: GET /api/guidelines (danh sách)
Endpoint 2: GET /api/guidelines/{weekId} (chi tiết)
Assertion 1: 3000ms | Assertion 2: 5000ms</t>
  </si>
  <si>
    <t>- Danh sách quy trình: response time &lt; 3 giây
- Chi tiết từng tuần: response time &lt; 5 giây
- Status 200
- Dữ liệu đúng theo ngành và đợt</t>
  </si>
  <si>
    <t>TC-QP-02</t>
  </si>
  <si>
    <t>500 sinh viên đã đăng nhập.
Quy trình đã được cấu hình.</t>
  </si>
  <si>
    <t>1. Thread Group: 500 users, Ramp-up=60s, Loop=1.
2. CSV Data Set Config: tokens.csv.
3. HTTP Request GET /api/guidelines.
4. Duration Assertion: 3000ms.
5. Listener: Aggregate Report.</t>
  </si>
  <si>
    <t>Threads: 100→200→300→400→500
Ramp-up: 60s | Loop: 1
Endpoint: GET /api/guidelines
Duration Assertion: 3000ms</t>
  </si>
  <si>
    <t>- Response time &lt; 3 giây
- Error rate &lt; 5%
- Hệ thống không crash
- Dữ liệu quy trình hiển thị đúng</t>
  </si>
  <si>
    <t>Nộp báo cáo tuần</t>
  </si>
  <si>
    <t>TC-BCT-01</t>
  </si>
  <si>
    <t>Nộp báo cáo tuần – Response Time 10 Users</t>
  </si>
  <si>
    <t>Sinh viên đã đăng nhập.
Có đề tài đã được duyệt.
Đang trong tuần được phép nộp.</t>
  </si>
  <si>
    <t>1. Thread Group: Threads=10, Ramp-up=10s, Loop=1.
2. Lấy token xác thực.
3. HTTP Request POST /api/reports/weekly, body: {weekNumber, content, link}.
4. Duration Assertion: 3000ms.
5. Listener: View Results Tree + Aggregate Report.
6. Ghi nhận response time và verify lưu thành công.</t>
  </si>
  <si>
    <t>Threads: 10 | Ramp-up: 10s | Loop: 1
Endpoint: POST /api/reports/weekly
Body: {weekNumber: 4, content: "Nội dung tuần 4", link: "https://drive.google.com/abc"}
Duration Assertion: 3000ms</t>
  </si>
  <si>
    <t>- Response time &lt; 3 giây
- Status 200
- Báo cáo lưu thành công
- Error rate: 0%</t>
  </si>
  <si>
    <t>TC-BCT-02</t>
  </si>
  <si>
    <t>Danh sách báo cáo tuần – Truy xuất dữ liệu</t>
  </si>
  <si>
    <t>Sinh viên đã đăng nhập.
Đã có nhiều tuần báo cáo trong hệ thống.</t>
  </si>
  <si>
    <t>1. Thread Group: 1 user, Loop=10.
2. Lấy token.
3. HTTP Request GET /api/reports/weekly/list → Duration Assertion 3000ms.
4. Ghi nhận response time và số lượng bản ghi trả về.
5. Listener: Aggregate Report.</t>
  </si>
  <si>
    <t>Threads: 1 | Loop: 10
Endpoint: GET /api/reports/weekly/list
Duration Assertion: 3000ms</t>
  </si>
  <si>
    <t>- Response time &lt; 3 giây
- Danh sách tuần trả về đầy đủ
- Status 200</t>
  </si>
  <si>
    <t>TC-BCT-03</t>
  </si>
  <si>
    <t>500 sinh viên có đề tài đã duyệt.
Đang trong tuần báo cáo.
File: weekly_reports.csv (studentId, weekNumber, content).</t>
  </si>
  <si>
    <t>1. Thread Group: 500 users, Ramp-up=60s, Loop=1.
2. CSV Data Set Config: weekly_reports.csv.
3. Lấy token cho mỗi user.
4. HTTP Request POST /api/reports/weekly.
5. Duration Assertion: 3000ms.
6. Listener: Aggregate Report + Summary Report.</t>
  </si>
  <si>
    <t>Threads: 100→200→300→400→500
Ramp-up: 60s | Loop: 1
CSV: 500 bộ dữ liệu báo cáo
Endpoint: POST /api/reports/weekly
Duration Assertion: 3000ms</t>
  </si>
  <si>
    <t>- Response time &lt; 3 giây
- Error rate &lt; 5%
- Hệ thống không crash
- Dữ liệu báo cáo lưu đúng</t>
  </si>
  <si>
    <t>Nộp báo cáo cuối</t>
  </si>
  <si>
    <t>TC-BCC-01</t>
  </si>
  <si>
    <t>Nộp báo cáo cuối – Response Time 10 Users (không file)</t>
  </si>
  <si>
    <t>Sinh viên đã đăng nhập.
Có đề tài đã duyệt.
Đang trong thời gian cho phép nộp.</t>
  </si>
  <si>
    <t>1. Thread Group: Threads=10, Ramp-up=10s, Loop=1.
2. Lấy token.
3. HTTP Request POST /api/reports/final với payload meta (không đính kèm file).
4. Duration Assertion: 3000ms (không tính upload).
5. Listener: View Results Tree + Aggregate Report.</t>
  </si>
  <si>
    <t>Threads: 10 | Ramp-up: 10s | Loop: 1
Endpoint: POST /api/reports/final
Content-Type: application/json (meta only)
Duration Assertion: 3000ms</t>
  </si>
  <si>
    <t>- Response time &lt; 3 giây (không tính upload)
- Status 200
- Error rate: 0%</t>
  </si>
  <si>
    <t>TC-BCC-02</t>
  </si>
  <si>
    <t>Upload báo cáo cuối PDF ≤ 10MB – Thời gian xử lý</t>
  </si>
  <si>
    <t>Sinh viên đã đăng nhập.
File PDF hợp lệ ≤ 10MB đã chuẩn bị sẵn.</t>
  </si>
  <si>
    <t>1. Thread Group: Threads=10, Ramp-up=10s, Loop=1.
2. Lấy token xác thực.
3. HTTP Request POST /api/reports/final:
   - Method: POST
   - Content-Type: multipart/form-data
   - File Parameter: reportFile=baocaocuoi.pdf
4. Duration Assertion: 10000ms.
5. Ghi nhận thời gian từ lúc gửi đến khi nhận response.
6. Listener: View Results Tree + Aggregate Report.</t>
  </si>
  <si>
    <t>Threads: 10 | Ramp-up: 10s | Loop: 1
Endpoint: POST /api/reports/final
Content-Type: multipart/form-data
File: baocaocuoi.pdf (≤10MB)
Duration Assertion: 10000ms</t>
  </si>
  <si>
    <t>TC-BCC-03</t>
  </si>
  <si>
    <t>500 sinh viên có đề tài đã duyệt.
Đang trong thời gian nộp báo cáo cuối.</t>
  </si>
  <si>
    <t>1. Thread Group: 500 users, Ramp-up=60s, Loop=1.
2. CSV Data Set Config: tokens.csv.
3. HTTP Request POST /api/reports/final (không file, chỉ metadata).
4. Duration Assertion: 3000ms.
5. Listener: Aggregate Report + Summary Report.</t>
  </si>
  <si>
    <t>Threads: 100→200→300→400→500
Ramp-up: 60s | Loop: 1
Endpoint: POST /api/reports/final
Duration Assertion: 3000ms</t>
  </si>
  <si>
    <t>- Hệ thống không crash
- Error rate &lt; 5%
- Dữ liệu không mất
- Response time trong ngưỡng chấp nhận</t>
  </si>
  <si>
    <t>Xem thông tin phản biện</t>
  </si>
  <si>
    <t>TC-PB-01</t>
  </si>
  <si>
    <t>Xem thông tin GVPB – Response Time 10 Users</t>
  </si>
  <si>
    <t>Sinh viên đã đăng nhập.
TBM đã phân công giảng viên phản biện.</t>
  </si>
  <si>
    <t>1. Thread Group: Threads=10, Ramp-up=10s, Loop=1.
2. Lấy token xác thực.
3. HTTP Request GET /api/student/reviewer-info.
4. Duration Assertion: 3000ms.
5. Listener: View Results Tree + Aggregate Report.
6. Verify response chứa đủ thông tin: Tên GV, Mã GV, Email, SĐT, lịch phản biện.</t>
  </si>
  <si>
    <t>Threads: 10 | Ramp-up: 10s | Loop: 1
Endpoint: GET /api/student/reviewer-info
Duration Assertion: 3000ms</t>
  </si>
  <si>
    <t>- Response time &lt; 3 giây
- Status 200
- Hiển thị đầy đủ thông tin GVPB
- Error rate: 0%</t>
  </si>
  <si>
    <t>TC-PB-02</t>
  </si>
  <si>
    <t>Xem kết quả phản biện – Response Time</t>
  </si>
  <si>
    <t>Sinh viên đã đăng nhập.
GVPB đã nhập kết quả phản biện.</t>
  </si>
  <si>
    <t>1. Thread Group: Threads=10, Ramp-up=10s, Loop=1.
2. Lấy token.
3. HTTP Request GET /api/student/review-result.
4. Duration Assertion: 5000ms.
5. Listener: Aggregate Report + View Results Tree.
6. Verify response chứa: điểm, nhận xét, kết luận.</t>
  </si>
  <si>
    <t>Threads: 10 | Ramp-up: 10s | Loop: 1
Endpoint: GET /api/student/review-result
Duration Assertion: 5000ms</t>
  </si>
  <si>
    <t>- Response time &lt; 5 giây (chi tiết)
- Status 200
- Hiển thị điểm + nhận xét + kết luận
- Error rate: 0%</t>
  </si>
  <si>
    <t>TC-PB-03</t>
  </si>
  <si>
    <t>Load Test GVPB &amp; Hội đồng – 500 Users</t>
  </si>
  <si>
    <t>500 sinh viên đã đăng nhập.
Dữ liệu GVPB và hội đồng đã được phân công.</t>
  </si>
  <si>
    <t>1. Thread Group: 500 users, Ramp-up=60s, Loop=1.
2. CSV Data Set Config: tokens.csv.
3. HTTP Request GET /api/student/reviewer-info.
4. HTTP Request GET /api/student/council-info.
5. Duration Assertion: 3000ms mỗi endpoint.
6. Listener: Aggregate Report.</t>
  </si>
  <si>
    <t>Threads: 100→200→300→400→500
Ramp-up: 60s | Loop: 1
Endpoint 1: GET /api/student/reviewer-info
Endpoint 2: GET /api/student/council-info
Duration Assertion: 3000ms</t>
  </si>
  <si>
    <t>- Response time &lt; 3 giây
- Error rate &lt; 5%
- Hệ thống ổn định
- Dữ liệu GVPB và HĐ hiển thị đúng</t>
  </si>
  <si>
    <t>Xem thông tin hội đồng bảo vệ</t>
  </si>
  <si>
    <t>TC-HD-01</t>
  </si>
  <si>
    <t>Xem thông tin hội đồng – Response Time 10 Users</t>
  </si>
  <si>
    <t>Sinh viên đã đăng nhập.
TBM đã phân công hội đồng bảo vệ.</t>
  </si>
  <si>
    <t>1. Thread Group: Threads=10, Ramp-up=10s, Loop=1.
2. Lấy token xác thực.
3. HTTP Request GET /api/student/council-info.
4. Duration Assertion: 3000ms.
5. Listener: View Results Tree + Aggregate Report.
6. Verify response chứa: danh sách thành viên, mã GV, tên GV, mã bộ môn, nhiệm vụ.</t>
  </si>
  <si>
    <t>Threads: 10 | Ramp-up: 10s | Loop: 1
Endpoint: GET /api/student/council-info
Duration Assertion: 3000ms</t>
  </si>
  <si>
    <t>- Response time &lt; 3 giây
- Status 200
- Hiển thị đầy đủ danh sách thành viên hội đồng
- Error rate: 0%</t>
  </si>
  <si>
    <t>TC-HD-02</t>
  </si>
  <si>
    <t>500 sinh viên đã đăng nhập.
Hội đồng đã được TBM phân công.</t>
  </si>
  <si>
    <t>1. Thread Group: 500 users, Ramp-up=60s, Loop=1.
2. CSV Data Set Config: tokens.csv.
3. HTTP Request GET /api/student/council-info.
4. Duration Assertion: 3000ms.
5. Listener: Aggregate Report + Summary Report.</t>
  </si>
  <si>
    <t>Threads: 100→200→300→400→500
Ramp-up: 60s | Loop: 1
Endpoint: GET /api/student/council-info
Duration Assertion: 3000ms</t>
  </si>
  <si>
    <t>- Response time &lt; 3 giây
- Error rate &lt; 5%
- Hệ thống ổn định
- Dữ liệu hội đồng hiển thị đúng</t>
  </si>
  <si>
    <t>TC-SYS-01</t>
  </si>
  <si>
    <t>Soak Test – Chạy liên tục 1–2 giờ</t>
  </si>
  <si>
    <t>Hệ thống đang hoạt động bình thường.
Môi trường test độc lập.
100 token sinh viên hợp lệ.</t>
  </si>
  <si>
    <t>1. Thread Group: 100 users liên tục, Ramp-up=60s, Duration=7200s (2 giờ).
2. CSV Data Set Config: tokens.csv.
3. Luân phiên thực hiện các request:
   - POST /api/token (đăng nhập)
   - GET /api/topics (xem đề tài)
   - POST /api/topics/register (đăng ký)
   - POST /api/reports/weekly (nộp báo cáo)
4. Không dùng Duration Assertion cứng – chỉ ghi nhận.
5. Monitor CPU, RAM, response time, error rate theo thời gian.
6. Listener: Aggregate Report + Response Time Graph.</t>
  </si>
  <si>
    <t>Threads: 100 | Duration: 7200s (2 giờ)
Ramp-up: 60s
Scenario: Đăng nhập → Xem đề tài → Đăng ký → Nộp báo cáo
CSV: 100 token hợp lệ</t>
  </si>
  <si>
    <t>- Không crash trong suốt 1–2 giờ
- Không mất dữ liệu
- Response time không tăng bất thường theo thời gian
- Error rate &lt; 5% xuyên suốt</t>
  </si>
  <si>
    <t>TC-SYS-02</t>
  </si>
  <si>
    <t>Load Test tăng dần – 50→100→300→500 Users</t>
  </si>
  <si>
    <t>Hệ thống đang hoạt động.
Dữ liệu test đầy đủ.</t>
  </si>
  <si>
    <t>1. Sử dụng Stepping Thread Group hoặc 4 Thread Group riêng:
   - Stage 1: 50 users, Ramp-up=30s, chạy 5 phút
   - Stage 2: 100 users, Ramp-up=30s, chạy 5 phút
   - Stage 3: 300 users, Ramp-up=60s, chạy 5 phút
   - Stage 4: 500 users, Ramp-up=60s, chạy 5 phút
2. Mỗi stage thực hiện: GET /api/topics + POST /api/token.
3. Duration Assertion: 3000ms.
4. Ghi nhận Avg response time và error rate từng stage.</t>
  </si>
  <si>
    <t>Stage 1: 50 users | Stage 2: 100 users
Stage 3: 300 users | Stage 4: 500 users
Ramp-up: 30–60s | Duration/stage: 5 phút
Duration Assertion: 3000ms</t>
  </si>
  <si>
    <t>- Ở 500 users: hệ thống ổn định
- Response time trong ngưỡng chấp nhận
- Error rate &lt; 5%
- Xác định được điểm hiệu năng suy giảm</t>
  </si>
  <si>
    <t>TC-SYS-03</t>
  </si>
  <si>
    <t>Stress Test – Vượt 500 Users</t>
  </si>
  <si>
    <t>Hệ thống đang hoạt động.
Môi trường giám sát server sẵn sàng (CPU, RAM).</t>
  </si>
  <si>
    <t>1. Thread Group: Threads tăng dần đến 600→700→1000, Ramp-up=120s, Loop=1.
2. HTTP Request POST /api/token + GET /api/topics.
3. Không đặt Duration Assertion – ghi nhận mọi response time.
4. Monitor CPU/RAM liên tục.
5. Xác định điểm hệ thống bắt đầu fail (response time tăng đột biến, error rate &gt; 20%).
6. Listener: Aggregate Report + Summary Report.</t>
  </si>
  <si>
    <t>Threads: 600→700→800→900→1000
Ramp-up: 120s | Loop: 1
Scenario: POST /api/token + GET /api/topics
Monitor: CPU, RAM, network I/O</t>
  </si>
  <si>
    <t>- Xác định được ngưỡng hệ thống bắt đầu fail
- Hệ thống không crash hoàn toàn (graceful degradation)
- Ghi nhận error rate và response time tại từng mức tải</t>
  </si>
  <si>
    <t>TC-SYS-04</t>
  </si>
  <si>
    <t>Volume Test – Truy vấn dữ liệu lớn</t>
  </si>
  <si>
    <t>Hệ thống có dữ liệu lớn:
- 1000 sinh viên
- 500 đề tài
- 10000 báo cáo tuần</t>
  </si>
  <si>
    <t>1. Thread Group: 1 user, Loop=20.
2. Lấy token.
3. HTTP Request GET /api/topics (toàn bộ danh sách) → ghi nhận time.
4. HTTP Request GET /api/reports/weekly/list (danh sách dài) → ghi nhận time.
5. Duration Assertion: 5000ms.
6. Listener: View Results Tree + Aggregate Report.</t>
  </si>
  <si>
    <t>Threads: 1 | Loop: 20
DB: 1000 SV, 500 đề tài, 10000 báo cáo tuần
Endpoint 1: GET /api/topics (all)
Endpoint 2: GET /api/reports/weekly/list
Duration Assertion: 5000ms</t>
  </si>
  <si>
    <t>- Hệ thống vẫn hoạt động ổn định
- Response time &lt; 5 giây với dữ liệu lớn
- Không lỗi khi truy vấn
- Status 200</t>
  </si>
  <si>
    <t>TC-SYS-05</t>
  </si>
  <si>
    <t>Hệ thống đang hoạt động.
100 sinh viên chưa đăng ký đề tài.
100 đề tài còn slot.</t>
  </si>
  <si>
    <t>1. Thread Group: 100 users, Ramp-up=30s, Loop=1.
2. Mỗi user thực hiện toàn bộ flow:
   a. POST /api/token → lấy token
   b. GET /api/topics → xem danh sách đề tài
   c. POST /api/topics/register → đăng ký đề tài
   d. GET /api/topics/my-status → xem trạng thái
   e. POST /api/reports/weekly → nộp báo cáo tuần
3. Duration Assertion: 3000ms mỗi request.
4. Listener: Aggregate Report + Transaction Controller.</t>
  </si>
  <si>
    <t>Threads: 100 | Ramp-up: 30s | Loop: 1
Flow: Login → Xem ĐT → Đăng ký → Xem TT → Nộp BC tuần
Duration Assertion: 3000ms/request</t>
  </si>
  <si>
    <t>- Tất cả bước trong flow hoàn thành thành công
- Response time &lt; 3 giây mỗi request
- Error rate &lt; 5%
- Dữ liệu nhất quán sau flow</t>
  </si>
  <si>
    <t>1. Thread Group: 10 user, Loop=5.
2. Lấy token xác thực (POST /api/token).
3. HTTP Request GET /api/topics?department=CNPM → Duration Assertion 3000ms.
4. JSON Extractor: trích xuất topicId từ response.
5. HTTP Request POST /api/topics/register, body: {topicId: ${topicId}, studentId: sv001}.
6. Duration Assertion: 3000ms cho POST.
7. Listener: Aggregate Report.
8. Ghi nhận response time GET và POST riêng biệt.</t>
  </si>
  <si>
    <t>Xem thông tin PB</t>
  </si>
  <si>
    <t>Đăng ký ĐT</t>
  </si>
  <si>
    <t>Đề xuất ĐT</t>
  </si>
  <si>
    <t>Xem trạng thái đăng ký ĐT</t>
  </si>
  <si>
    <t>Xem thông tin HĐBV</t>
  </si>
  <si>
    <t>Hệ thống</t>
  </si>
  <si>
    <t>TEST CASE LIST</t>
  </si>
  <si>
    <t>Project Name</t>
  </si>
  <si>
    <t>Project Code</t>
  </si>
  <si>
    <t>Test Environment Setup Description</t>
  </si>
  <si>
    <t>•Trình duyệt: Chrome version 146.0.7680.76, Edge version 146.0.3856.59 
•Thiết bị: CPU Intel Core i7, RAM 32GB
•Hệ điều hành: Windows 11 Pro</t>
  </si>
  <si>
    <t>No</t>
  </si>
  <si>
    <t>Function Name</t>
  </si>
  <si>
    <t>Sheet Name</t>
  </si>
  <si>
    <t>Description</t>
  </si>
  <si>
    <t>Nhiều chức năng – 100 Users đồng thời</t>
  </si>
  <si>
    <t>TEST REPORT</t>
  </si>
  <si>
    <t>Creator</t>
  </si>
  <si>
    <t>Reviewer/Approver</t>
  </si>
  <si>
    <t>Document Code</t>
  </si>
  <si>
    <t>Issue Date</t>
  </si>
  <si>
    <t>&lt;Date when this test report is created&gt;</t>
  </si>
  <si>
    <t>Notes</t>
  </si>
  <si>
    <t>&lt;List modules included in this release&gt; ex: Release 1 includes 2 modules: Module1 and Module2</t>
  </si>
  <si>
    <t>Module code</t>
  </si>
  <si>
    <t>Passed</t>
  </si>
  <si>
    <t>Failed</t>
  </si>
  <si>
    <t>Not Avaiable</t>
  </si>
  <si>
    <t>Number of  test cases</t>
  </si>
  <si>
    <t>Sub total</t>
  </si>
  <si>
    <t>Test coverage</t>
  </si>
  <si>
    <t>%</t>
  </si>
  <si>
    <t>Test successful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</si>
</sst>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u/>
      <sz val="11"/>
      <color theme="10"/>
      <name val="Calibri"/>
      <family val="2"/>
      <scheme val="minor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u/>
      <sz val="10"/>
      <color rgb="FF0000FF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2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993300"/>
      <name val="Arial"/>
      <family val="2"/>
    </font>
    <font>
      <sz val="11"/>
      <name val="MS PGothic"/>
      <family val="2"/>
    </font>
    <font>
      <i/>
      <sz val="10"/>
      <color rgb="FF008000"/>
      <name val="Arial"/>
      <family val="2"/>
    </font>
    <font>
      <b/>
      <sz val="10"/>
      <color rgb="FFFFFFFF"/>
      <name val="Arial"/>
      <family val="2"/>
    </font>
    <font>
      <u/>
      <sz val="10"/>
      <color rgb="FF0000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9E2F3"/>
        <bgColor rgb="FFD9E2F3"/>
      </patternFill>
    </fill>
    <fill>
      <patternFill patternType="solid">
        <fgColor theme="4" tint="0.79998168889431442"/>
        <bgColor rgb="FF00B050"/>
      </patternFill>
    </fill>
    <fill>
      <patternFill patternType="solid">
        <fgColor theme="4" tint="0.79998168889431442"/>
        <bgColor rgb="FF000080"/>
      </patternFill>
    </fill>
    <fill>
      <patternFill patternType="solid">
        <fgColor rgb="FF000080"/>
        <bgColor rgb="FF333399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1">
    <xf numFmtId="0" fontId="0" fillId="0" borderId="0" xfId="0"/>
    <xf numFmtId="0" fontId="1" fillId="0" borderId="1" xfId="0" applyFont="1" applyBorder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4" fillId="3" borderId="0" xfId="0" applyFont="1" applyFill="1" applyAlignment="1">
      <alignment horizontal="left" vertical="top" wrapText="1"/>
    </xf>
    <xf numFmtId="0" fontId="4" fillId="3" borderId="0" xfId="0" applyFont="1" applyFill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 wrapText="1"/>
    </xf>
    <xf numFmtId="0" fontId="6" fillId="4" borderId="3" xfId="0" applyFont="1" applyFill="1" applyBorder="1" applyAlignment="1">
      <alignment horizontal="center" wrapText="1"/>
    </xf>
    <xf numFmtId="0" fontId="4" fillId="4" borderId="4" xfId="0" applyFont="1" applyFill="1" applyBorder="1" applyAlignment="1">
      <alignment horizontal="left" vertical="center" wrapText="1"/>
    </xf>
    <xf numFmtId="0" fontId="7" fillId="4" borderId="5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center" wrapText="1"/>
    </xf>
    <xf numFmtId="0" fontId="6" fillId="4" borderId="6" xfId="0" applyFont="1" applyFill="1" applyBorder="1" applyAlignment="1">
      <alignment horizontal="center" wrapText="1"/>
    </xf>
    <xf numFmtId="0" fontId="4" fillId="4" borderId="7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center" wrapText="1"/>
    </xf>
    <xf numFmtId="0" fontId="4" fillId="4" borderId="9" xfId="0" applyFont="1" applyFill="1" applyBorder="1" applyAlignment="1">
      <alignment horizontal="right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wrapText="1"/>
    </xf>
    <xf numFmtId="0" fontId="6" fillId="4" borderId="12" xfId="0" applyFont="1" applyFill="1" applyBorder="1" applyAlignment="1">
      <alignment horizontal="center" wrapText="1"/>
    </xf>
    <xf numFmtId="0" fontId="8" fillId="2" borderId="0" xfId="0" applyFont="1" applyFill="1"/>
    <xf numFmtId="0" fontId="8" fillId="2" borderId="0" xfId="0" applyFont="1" applyFill="1" applyAlignment="1">
      <alignment horizontal="center" wrapText="1"/>
    </xf>
    <xf numFmtId="0" fontId="7" fillId="2" borderId="0" xfId="0" applyFont="1" applyFill="1" applyAlignment="1">
      <alignment horizontal="center" wrapText="1"/>
    </xf>
    <xf numFmtId="0" fontId="9" fillId="2" borderId="1" xfId="0" quotePrefix="1" applyFont="1" applyFill="1" applyBorder="1" applyAlignment="1">
      <alignment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top" wrapText="1"/>
    </xf>
    <xf numFmtId="0" fontId="9" fillId="2" borderId="13" xfId="0" quotePrefix="1" applyFont="1" applyFill="1" applyBorder="1" applyAlignment="1">
      <alignment vertical="center" wrapText="1"/>
    </xf>
    <xf numFmtId="0" fontId="10" fillId="5" borderId="14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14" xfId="0" applyFont="1" applyFill="1" applyBorder="1" applyAlignment="1">
      <alignment horizontal="center" wrapText="1"/>
    </xf>
    <xf numFmtId="0" fontId="11" fillId="2" borderId="13" xfId="0" quotePrefix="1" applyFont="1" applyFill="1" applyBorder="1" applyAlignment="1">
      <alignment vertical="center" wrapText="1"/>
    </xf>
    <xf numFmtId="0" fontId="10" fillId="5" borderId="15" xfId="0" applyFont="1" applyFill="1" applyBorder="1" applyAlignment="1">
      <alignment horizontal="center" vertical="center" wrapText="1"/>
    </xf>
    <xf numFmtId="0" fontId="7" fillId="2" borderId="0" xfId="0" applyFont="1" applyFill="1"/>
    <xf numFmtId="1" fontId="7" fillId="2" borderId="0" xfId="0" applyNumberFormat="1" applyFont="1" applyFill="1"/>
    <xf numFmtId="0" fontId="7" fillId="2" borderId="0" xfId="0" applyFont="1" applyFill="1" applyAlignment="1">
      <alignment horizontal="left"/>
    </xf>
    <xf numFmtId="0" fontId="12" fillId="2" borderId="0" xfId="0" applyFont="1" applyFill="1" applyAlignment="1">
      <alignment horizontal="left"/>
    </xf>
    <xf numFmtId="0" fontId="13" fillId="2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0" fontId="7" fillId="2" borderId="0" xfId="0" applyFont="1" applyFill="1" applyAlignment="1">
      <alignment wrapText="1"/>
    </xf>
    <xf numFmtId="1" fontId="14" fillId="2" borderId="0" xfId="0" applyNumberFormat="1" applyFont="1" applyFill="1"/>
    <xf numFmtId="0" fontId="7" fillId="2" borderId="0" xfId="0" applyFont="1" applyFill="1" applyAlignment="1">
      <alignment vertical="center"/>
    </xf>
    <xf numFmtId="1" fontId="7" fillId="2" borderId="0" xfId="0" applyNumberFormat="1" applyFont="1" applyFill="1" applyAlignment="1">
      <alignment vertical="center"/>
    </xf>
    <xf numFmtId="0" fontId="7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/>
    </xf>
    <xf numFmtId="1" fontId="17" fillId="7" borderId="19" xfId="0" applyNumberFormat="1" applyFont="1" applyFill="1" applyBorder="1" applyAlignment="1">
      <alignment horizontal="center" vertical="center"/>
    </xf>
    <xf numFmtId="0" fontId="17" fillId="7" borderId="20" xfId="0" applyFont="1" applyFill="1" applyBorder="1" applyAlignment="1">
      <alignment horizontal="center" vertical="center"/>
    </xf>
    <xf numFmtId="0" fontId="17" fillId="7" borderId="21" xfId="0" applyFont="1" applyFill="1" applyBorder="1" applyAlignment="1">
      <alignment horizontal="center" vertical="center"/>
    </xf>
    <xf numFmtId="0" fontId="17" fillId="7" borderId="22" xfId="0" applyFont="1" applyFill="1" applyBorder="1" applyAlignment="1">
      <alignment horizontal="center" vertical="center"/>
    </xf>
    <xf numFmtId="1" fontId="7" fillId="2" borderId="23" xfId="0" applyNumberFormat="1" applyFont="1" applyFill="1" applyBorder="1" applyAlignment="1">
      <alignment vertical="center"/>
    </xf>
    <xf numFmtId="49" fontId="7" fillId="2" borderId="24" xfId="0" applyNumberFormat="1" applyFont="1" applyFill="1" applyBorder="1" applyAlignment="1">
      <alignment horizontal="left" vertical="center"/>
    </xf>
    <xf numFmtId="0" fontId="2" fillId="2" borderId="24" xfId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7" fillId="2" borderId="25" xfId="0" applyFont="1" applyFill="1" applyBorder="1" applyAlignment="1">
      <alignment horizontal="left" vertical="center"/>
    </xf>
    <xf numFmtId="0" fontId="7" fillId="2" borderId="24" xfId="0" applyFont="1" applyFill="1" applyBorder="1" applyAlignment="1">
      <alignment horizontal="left" vertical="center"/>
    </xf>
    <xf numFmtId="0" fontId="7" fillId="2" borderId="26" xfId="0" applyFont="1" applyFill="1" applyBorder="1" applyAlignment="1">
      <alignment horizontal="left" vertical="center"/>
    </xf>
    <xf numFmtId="0" fontId="7" fillId="2" borderId="27" xfId="0" applyFont="1" applyFill="1" applyBorder="1" applyAlignment="1">
      <alignment horizontal="left" vertical="center"/>
    </xf>
    <xf numFmtId="0" fontId="16" fillId="2" borderId="16" xfId="0" applyFont="1" applyFill="1" applyBorder="1" applyAlignment="1">
      <alignment horizontal="left"/>
    </xf>
    <xf numFmtId="0" fontId="4" fillId="2" borderId="0" xfId="0" applyFont="1" applyFill="1"/>
    <xf numFmtId="15" fontId="7" fillId="2" borderId="0" xfId="0" applyNumberFormat="1" applyFont="1" applyFill="1"/>
    <xf numFmtId="0" fontId="14" fillId="2" borderId="13" xfId="0" applyFont="1" applyFill="1" applyBorder="1" applyAlignment="1">
      <alignment horizontal="left" vertical="center"/>
    </xf>
    <xf numFmtId="0" fontId="14" fillId="2" borderId="18" xfId="0" applyFont="1" applyFill="1" applyBorder="1" applyAlignment="1">
      <alignment horizontal="left"/>
    </xf>
    <xf numFmtId="0" fontId="7" fillId="2" borderId="18" xfId="0" applyFont="1" applyFill="1" applyBorder="1" applyAlignment="1">
      <alignment vertical="top"/>
    </xf>
    <xf numFmtId="0" fontId="14" fillId="2" borderId="13" xfId="0" applyFont="1" applyFill="1" applyBorder="1" applyAlignment="1">
      <alignment vertical="center"/>
    </xf>
    <xf numFmtId="0" fontId="16" fillId="2" borderId="18" xfId="0" applyFont="1" applyFill="1" applyBorder="1" applyAlignment="1">
      <alignment vertical="top"/>
    </xf>
    <xf numFmtId="0" fontId="14" fillId="2" borderId="0" xfId="0" applyFont="1" applyFill="1"/>
    <xf numFmtId="0" fontId="16" fillId="2" borderId="0" xfId="0" applyFont="1" applyFill="1"/>
    <xf numFmtId="0" fontId="19" fillId="6" borderId="1" xfId="0" applyFont="1" applyFill="1" applyBorder="1" applyAlignment="1">
      <alignment horizontal="center"/>
    </xf>
    <xf numFmtId="0" fontId="19" fillId="6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/>
    </xf>
    <xf numFmtId="49" fontId="7" fillId="2" borderId="1" xfId="0" applyNumberFormat="1" applyFont="1" applyFill="1" applyBorder="1"/>
    <xf numFmtId="0" fontId="7" fillId="2" borderId="1" xfId="0" applyFont="1" applyFill="1" applyBorder="1"/>
    <xf numFmtId="0" fontId="20" fillId="6" borderId="1" xfId="0" applyFont="1" applyFill="1" applyBorder="1" applyAlignment="1">
      <alignment horizontal="center"/>
    </xf>
    <xf numFmtId="0" fontId="19" fillId="6" borderId="1" xfId="0" applyFont="1" applyFill="1" applyBorder="1"/>
    <xf numFmtId="0" fontId="7" fillId="2" borderId="0" xfId="0" applyFont="1" applyFill="1" applyAlignment="1">
      <alignment horizontal="center"/>
    </xf>
    <xf numFmtId="10" fontId="7" fillId="2" borderId="0" xfId="0" applyNumberFormat="1" applyFont="1" applyFill="1" applyAlignment="1">
      <alignment horizontal="center"/>
    </xf>
    <xf numFmtId="9" fontId="7" fillId="2" borderId="0" xfId="0" applyNumberFormat="1" applyFont="1" applyFill="1" applyAlignment="1">
      <alignment horizontal="center"/>
    </xf>
    <xf numFmtId="0" fontId="14" fillId="2" borderId="0" xfId="0" applyFont="1" applyFill="1" applyAlignment="1">
      <alignment horizontal="left"/>
    </xf>
    <xf numFmtId="0" fontId="21" fillId="2" borderId="0" xfId="0" applyFont="1" applyFill="1" applyAlignment="1">
      <alignment horizontal="right" wrapText="1"/>
    </xf>
    <xf numFmtId="1" fontId="21" fillId="2" borderId="0" xfId="0" applyNumberFormat="1" applyFont="1" applyFill="1" applyAlignment="1">
      <alignment horizontal="right" wrapText="1"/>
    </xf>
    <xf numFmtId="0" fontId="14" fillId="2" borderId="16" xfId="0" applyFont="1" applyFill="1" applyBorder="1" applyAlignment="1">
      <alignment horizontal="left"/>
    </xf>
    <xf numFmtId="0" fontId="16" fillId="2" borderId="16" xfId="0" applyFont="1" applyFill="1" applyBorder="1" applyAlignment="1">
      <alignment vertical="top"/>
    </xf>
    <xf numFmtId="0" fontId="16" fillId="2" borderId="18" xfId="0" applyFont="1" applyFill="1" applyBorder="1" applyAlignment="1">
      <alignment horizontal="left"/>
    </xf>
    <xf numFmtId="0" fontId="14" fillId="2" borderId="17" xfId="0" applyFont="1" applyFill="1" applyBorder="1" applyAlignment="1">
      <alignment horizontal="left"/>
    </xf>
    <xf numFmtId="0" fontId="16" fillId="2" borderId="17" xfId="0" applyFont="1" applyFill="1" applyBorder="1" applyAlignment="1">
      <alignment vertical="top"/>
    </xf>
    <xf numFmtId="1" fontId="14" fillId="2" borderId="16" xfId="0" applyNumberFormat="1" applyFont="1" applyFill="1" applyBorder="1"/>
    <xf numFmtId="0" fontId="15" fillId="0" borderId="17" xfId="0" applyFont="1" applyBorder="1"/>
    <xf numFmtId="0" fontId="16" fillId="2" borderId="16" xfId="0" applyFont="1" applyFill="1" applyBorder="1" applyAlignment="1">
      <alignment horizontal="left"/>
    </xf>
    <xf numFmtId="0" fontId="15" fillId="0" borderId="18" xfId="0" applyFont="1" applyBorder="1"/>
    <xf numFmtId="1" fontId="14" fillId="2" borderId="16" xfId="0" applyNumberFormat="1" applyFont="1" applyFill="1" applyBorder="1" applyAlignment="1">
      <alignment vertical="center" wrapText="1"/>
    </xf>
    <xf numFmtId="0" fontId="16" fillId="2" borderId="16" xfId="0" applyFont="1" applyFill="1" applyBorder="1" applyAlignment="1">
      <alignment vertical="top" wrapText="1"/>
    </xf>
    <xf numFmtId="0" fontId="12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1047750</xdr:colOff>
      <xdr:row>0</xdr:row>
      <xdr:rowOff>219075</xdr:rowOff>
    </xdr:from>
    <xdr:ext cx="209550" cy="3048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C50FF992-D6C4-4192-9D3B-787879742C5C}"/>
            </a:ext>
          </a:extLst>
        </xdr:cNvPr>
        <xdr:cNvSpPr/>
      </xdr:nvSpPr>
      <xdr:spPr>
        <a:xfrm>
          <a:off x="2047875" y="219075"/>
          <a:ext cx="2095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C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ver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Test case List"/>
      <sheetName val="1. Cập nhật ttcn"/>
      <sheetName val="2. Đăng ký ĐT"/>
      <sheetName val="3. Đề xuất ĐT"/>
      <sheetName val="4. Xem trạng thái đăng ký ĐT"/>
      <sheetName val="5. Xem quy trình hướng dẫn "/>
      <sheetName val="6. Nộp báo cáo tuần"/>
      <sheetName val="7. Nộp BC cuối"/>
      <sheetName val="8. Xem PB"/>
      <sheetName val="9. Xem HĐBV"/>
      <sheetName val="10. Đăng nhập"/>
      <sheetName val="Test Report"/>
    </sheetNames>
    <sheetDataSet>
      <sheetData sheetId="0">
        <row r="4">
          <cell r="C4" t="str">
            <v>Website Quản lý đồ án tốt nghiệp</v>
          </cell>
        </row>
        <row r="5">
          <cell r="C5" t="str">
            <v>DA3</v>
          </cell>
        </row>
      </sheetData>
      <sheetData sheetId="1">
        <row r="9">
          <cell r="C9" t="str">
            <v>Cập nhật thông tin cá nhân</v>
          </cell>
        </row>
        <row r="10">
          <cell r="C10" t="str">
            <v>Đăng ký đề tài</v>
          </cell>
        </row>
        <row r="11">
          <cell r="C11" t="str">
            <v>Đề xuất đề tài</v>
          </cell>
        </row>
        <row r="12">
          <cell r="C12" t="str">
            <v>Xem trạng thái đăng ký đề tài</v>
          </cell>
        </row>
        <row r="13">
          <cell r="C13" t="str">
            <v>Xem quy trình hướng dẫn</v>
          </cell>
        </row>
        <row r="14">
          <cell r="C14" t="str">
            <v>Nộp báo cáo tuần</v>
          </cell>
        </row>
        <row r="15">
          <cell r="C15" t="str">
            <v>Nộp báo cáo cuối</v>
          </cell>
        </row>
        <row r="16">
          <cell r="C16" t="str">
            <v>Xem thông tin phản biện</v>
          </cell>
        </row>
        <row r="17">
          <cell r="C17" t="str">
            <v>Xem thông tin hội đồng bảo vệ</v>
          </cell>
        </row>
        <row r="18">
          <cell r="C18" t="str">
            <v>Đăng nhập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C list"/>
      <sheetName val="1. Cập nhật thông tin"/>
      <sheetName val="2. Đăng ký ĐT"/>
      <sheetName val="3. Đề xuất ĐT"/>
      <sheetName val="4. Xem trạng thái ĐK"/>
      <sheetName val="5. Xem quy trình HD"/>
      <sheetName val="6. Nộp BC tuần"/>
      <sheetName val="7. Nộp BC cuối"/>
      <sheetName val="8. Xem phản biện"/>
      <sheetName val="9. Xem hội đồng"/>
      <sheetName val="10. Đăng nhập"/>
      <sheetName val="Hệ thống"/>
      <sheetName val="Report"/>
      <sheetName val="Cover"/>
    </sheetNames>
    <sheetDataSet>
      <sheetData sheetId="0" refreshError="1"/>
      <sheetData sheetId="1" refreshError="1"/>
      <sheetData sheetId="2" refreshError="1"/>
      <sheetData sheetId="3" refreshError="1">
        <row r="4">
          <cell r="C4" t="str">
            <v>Vu Vy Thanh</v>
          </cell>
        </row>
      </sheetData>
      <sheetData sheetId="4" refreshError="1">
        <row r="4">
          <cell r="G4" t="str">
            <v>Fail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33616-CE7F-4433-ADA3-1812E45DD1DF}">
  <dimension ref="A1:AN63"/>
  <sheetViews>
    <sheetView zoomScale="120" zoomScaleNormal="120" workbookViewId="0">
      <selection activeCell="D27" sqref="D27"/>
    </sheetView>
  </sheetViews>
  <sheetFormatPr defaultRowHeight="15" x14ac:dyDescent="0.25"/>
  <cols>
    <col min="3" max="3" width="30.85546875" customWidth="1"/>
    <col min="4" max="4" width="34.42578125" bestFit="1" customWidth="1"/>
    <col min="5" max="5" width="11.140625" bestFit="1" customWidth="1"/>
    <col min="6" max="6" width="13.5703125" bestFit="1" customWidth="1"/>
  </cols>
  <sheetData>
    <row r="1" spans="1:40" ht="26.25" x14ac:dyDescent="0.4">
      <c r="A1" s="32"/>
      <c r="B1" s="33"/>
      <c r="C1" s="34"/>
      <c r="D1" s="35" t="s">
        <v>227</v>
      </c>
      <c r="E1" s="36"/>
      <c r="F1" s="34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</row>
    <row r="2" spans="1:40" x14ac:dyDescent="0.25">
      <c r="A2" s="32"/>
      <c r="B2" s="33"/>
      <c r="C2" s="34"/>
      <c r="D2" s="37"/>
      <c r="E2" s="37"/>
      <c r="F2" s="34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</row>
    <row r="3" spans="1:40" x14ac:dyDescent="0.25">
      <c r="A3" s="32"/>
      <c r="B3" s="84" t="s">
        <v>228</v>
      </c>
      <c r="C3" s="85"/>
      <c r="D3" s="86" t="str">
        <f>[1]Cover!C4</f>
        <v>Website Quản lý đồ án tốt nghiệp</v>
      </c>
      <c r="E3" s="85"/>
      <c r="F3" s="87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</row>
    <row r="4" spans="1:40" x14ac:dyDescent="0.25">
      <c r="A4" s="32"/>
      <c r="B4" s="84" t="s">
        <v>229</v>
      </c>
      <c r="C4" s="85"/>
      <c r="D4" s="86" t="str">
        <f>[1]Cover!C5</f>
        <v>DA3</v>
      </c>
      <c r="E4" s="85"/>
      <c r="F4" s="87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</row>
    <row r="5" spans="1:40" x14ac:dyDescent="0.25">
      <c r="A5" s="38"/>
      <c r="B5" s="88" t="s">
        <v>230</v>
      </c>
      <c r="C5" s="87"/>
      <c r="D5" s="89" t="s">
        <v>231</v>
      </c>
      <c r="E5" s="85"/>
      <c r="F5" s="87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</row>
    <row r="6" spans="1:40" x14ac:dyDescent="0.25">
      <c r="A6" s="32"/>
      <c r="B6" s="39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</row>
    <row r="7" spans="1:40" x14ac:dyDescent="0.25">
      <c r="A7" s="40"/>
      <c r="B7" s="41"/>
      <c r="C7" s="42"/>
      <c r="D7" s="42"/>
      <c r="E7" s="42"/>
      <c r="F7" s="42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</row>
    <row r="8" spans="1:40" x14ac:dyDescent="0.25">
      <c r="A8" s="43"/>
      <c r="B8" s="44" t="s">
        <v>232</v>
      </c>
      <c r="C8" s="45" t="s">
        <v>233</v>
      </c>
      <c r="D8" s="45" t="s">
        <v>234</v>
      </c>
      <c r="E8" s="46" t="s">
        <v>235</v>
      </c>
      <c r="F8" s="47" t="s">
        <v>13</v>
      </c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</row>
    <row r="9" spans="1:40" x14ac:dyDescent="0.25">
      <c r="A9" s="32"/>
      <c r="B9" s="48">
        <v>1</v>
      </c>
      <c r="C9" s="49" t="s">
        <v>43</v>
      </c>
      <c r="D9" s="50" t="str">
        <f>HYPERLINK("#'1. Cập nhật thông tin'!H3","Cập nhật thông tin cá nhân")</f>
        <v>Cập nhật thông tin cá nhân</v>
      </c>
      <c r="E9" s="51"/>
      <c r="F9" s="5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</row>
    <row r="10" spans="1:40" x14ac:dyDescent="0.25">
      <c r="A10" s="32"/>
      <c r="B10" s="48">
        <v>2</v>
      </c>
      <c r="C10" s="49" t="s">
        <v>61</v>
      </c>
      <c r="D10" s="50" t="str">
        <f>HYPERLINK("#'2. Đăng ký ĐT'!A1","Đăng ký đề tài")</f>
        <v>Đăng ký đề tài</v>
      </c>
      <c r="E10" s="51"/>
      <c r="F10" s="5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</row>
    <row r="11" spans="1:40" x14ac:dyDescent="0.25">
      <c r="A11" s="32"/>
      <c r="B11" s="48">
        <v>3</v>
      </c>
      <c r="C11" s="49" t="s">
        <v>77</v>
      </c>
      <c r="D11" s="50" t="str">
        <f>HYPERLINK("#'3. Đề xuất ĐT'!A1","Đề xuất đề tài")</f>
        <v>Đề xuất đề tài</v>
      </c>
      <c r="E11" s="51"/>
      <c r="F11" s="5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</row>
    <row r="12" spans="1:40" x14ac:dyDescent="0.25">
      <c r="A12" s="32"/>
      <c r="B12" s="48">
        <v>4</v>
      </c>
      <c r="C12" s="49" t="s">
        <v>95</v>
      </c>
      <c r="D12" s="50" t="str">
        <f>HYPERLINK("#'4. Xem trạng thái ĐK'!A1","Xem trạng thái đăng ký đề tài")</f>
        <v>Xem trạng thái đăng ký đề tài</v>
      </c>
      <c r="E12" s="51"/>
      <c r="F12" s="5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</row>
    <row r="13" spans="1:40" x14ac:dyDescent="0.25">
      <c r="A13" s="32"/>
      <c r="B13" s="48">
        <v>5</v>
      </c>
      <c r="C13" s="49" t="s">
        <v>113</v>
      </c>
      <c r="D13" s="50" t="str">
        <f>HYPERLINK("#'5. Xem quy trình HD'!A1","Xem quy trình hướng dẫn")</f>
        <v>Xem quy trình hướng dẫn</v>
      </c>
      <c r="E13" s="53"/>
      <c r="F13" s="5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</row>
    <row r="14" spans="1:40" x14ac:dyDescent="0.25">
      <c r="A14" s="32"/>
      <c r="B14" s="48">
        <v>6</v>
      </c>
      <c r="C14" s="49" t="s">
        <v>125</v>
      </c>
      <c r="D14" s="50" t="str">
        <f>HYPERLINK("#'6. Nộp BC tuần'!A1","Nộp báo cáo tuần")</f>
        <v>Nộp báo cáo tuần</v>
      </c>
      <c r="E14" s="53"/>
      <c r="F14" s="5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</row>
    <row r="15" spans="1:40" x14ac:dyDescent="0.25">
      <c r="A15" s="32"/>
      <c r="B15" s="48">
        <v>7</v>
      </c>
      <c r="C15" s="49" t="s">
        <v>143</v>
      </c>
      <c r="D15" s="50" t="str">
        <f>HYPERLINK("#'7. Nộp BC cuối'!A1","Nộp báo cáo cuối")</f>
        <v>Nộp báo cáo cuối</v>
      </c>
      <c r="E15" s="53"/>
      <c r="F15" s="5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</row>
    <row r="16" spans="1:40" x14ac:dyDescent="0.25">
      <c r="A16" s="32"/>
      <c r="B16" s="48">
        <v>8</v>
      </c>
      <c r="C16" s="49" t="s">
        <v>160</v>
      </c>
      <c r="D16" s="50" t="str">
        <f>HYPERLINK("#'8. Xem phản biện'!A1","Xem thông tin phản biện")</f>
        <v>Xem thông tin phản biện</v>
      </c>
      <c r="E16" s="53"/>
      <c r="F16" s="5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</row>
    <row r="17" spans="1:40" x14ac:dyDescent="0.25">
      <c r="A17" s="32"/>
      <c r="B17" s="48">
        <v>9</v>
      </c>
      <c r="C17" s="49" t="s">
        <v>179</v>
      </c>
      <c r="D17" s="50" t="str">
        <f>HYPERLINK("#'10. Xem hội đồng'!A1","Xem thông tin hội đồng bảo vệ")</f>
        <v>Xem thông tin hội đồng bảo vệ</v>
      </c>
      <c r="E17" s="53"/>
      <c r="F17" s="5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</row>
    <row r="18" spans="1:40" x14ac:dyDescent="0.25">
      <c r="A18" s="32"/>
      <c r="B18" s="48">
        <v>10</v>
      </c>
      <c r="C18" s="49" t="s">
        <v>3</v>
      </c>
      <c r="D18" s="50" t="str">
        <f>HYPERLINK("#'10. Đăng nhập'!A1","Đăng nhập")</f>
        <v>Đăng nhập</v>
      </c>
      <c r="E18" s="53"/>
      <c r="F18" s="5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</row>
    <row r="19" spans="1:40" x14ac:dyDescent="0.25">
      <c r="A19" s="32"/>
      <c r="B19" s="48">
        <v>11</v>
      </c>
      <c r="C19" s="49" t="s">
        <v>226</v>
      </c>
      <c r="D19" s="50" t="str">
        <f>HYPERLINK("#'Hệ thống'!A1","Hệ thống")</f>
        <v>Hệ thống</v>
      </c>
      <c r="E19" s="54"/>
      <c r="F19" s="55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</row>
    <row r="20" spans="1:40" x14ac:dyDescent="0.25">
      <c r="A20" s="32"/>
      <c r="B20" s="33"/>
      <c r="C20" s="34"/>
      <c r="D20" s="34"/>
      <c r="E20" s="34"/>
      <c r="F20" s="34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</row>
    <row r="21" spans="1:40" x14ac:dyDescent="0.25">
      <c r="A21" s="32"/>
      <c r="B21" s="33"/>
      <c r="C21" s="34"/>
      <c r="D21" s="34"/>
      <c r="E21" s="34"/>
      <c r="F21" s="34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</row>
    <row r="22" spans="1:40" x14ac:dyDescent="0.25">
      <c r="A22" s="32"/>
      <c r="B22" s="33"/>
      <c r="C22" s="34"/>
      <c r="D22" s="34"/>
      <c r="E22" s="34"/>
      <c r="F22" s="34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</row>
    <row r="23" spans="1:40" x14ac:dyDescent="0.25">
      <c r="A23" s="32"/>
      <c r="B23" s="33"/>
      <c r="C23" s="34"/>
      <c r="D23" s="34"/>
      <c r="E23" s="34"/>
      <c r="F23" s="34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</row>
    <row r="24" spans="1:40" x14ac:dyDescent="0.25">
      <c r="A24" s="32"/>
      <c r="B24" s="33"/>
      <c r="C24" s="34"/>
      <c r="D24" s="34"/>
      <c r="E24" s="34"/>
      <c r="F24" s="34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</row>
    <row r="25" spans="1:40" x14ac:dyDescent="0.25">
      <c r="A25" s="32"/>
      <c r="B25" s="33"/>
      <c r="C25" s="34"/>
      <c r="D25" s="34"/>
      <c r="E25" s="34"/>
      <c r="F25" s="34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</row>
    <row r="26" spans="1:40" x14ac:dyDescent="0.25">
      <c r="A26" s="32"/>
      <c r="B26" s="33"/>
      <c r="C26" s="34"/>
      <c r="D26" s="34"/>
      <c r="E26" s="34"/>
      <c r="F26" s="34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</row>
    <row r="27" spans="1:40" x14ac:dyDescent="0.25">
      <c r="A27" s="32"/>
      <c r="B27" s="33"/>
      <c r="C27" s="34"/>
      <c r="D27" s="34"/>
      <c r="E27" s="34"/>
      <c r="F27" s="34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</row>
    <row r="28" spans="1:40" x14ac:dyDescent="0.25">
      <c r="A28" s="32"/>
      <c r="B28" s="33"/>
      <c r="C28" s="34"/>
      <c r="D28" s="34"/>
      <c r="E28" s="34"/>
      <c r="F28" s="34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</row>
    <row r="29" spans="1:40" x14ac:dyDescent="0.25">
      <c r="A29" s="32"/>
      <c r="B29" s="33"/>
      <c r="C29" s="34"/>
      <c r="D29" s="34"/>
      <c r="E29" s="34"/>
      <c r="F29" s="34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</row>
    <row r="30" spans="1:40" x14ac:dyDescent="0.25">
      <c r="A30" s="32"/>
      <c r="B30" s="33"/>
      <c r="C30" s="34"/>
      <c r="D30" s="34"/>
      <c r="E30" s="34"/>
      <c r="F30" s="34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</row>
    <row r="31" spans="1:40" x14ac:dyDescent="0.25">
      <c r="A31" s="32"/>
      <c r="B31" s="33"/>
      <c r="C31" s="34"/>
      <c r="D31" s="34"/>
      <c r="E31" s="34"/>
      <c r="F31" s="34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</row>
    <row r="32" spans="1:40" x14ac:dyDescent="0.25">
      <c r="A32" s="32"/>
      <c r="B32" s="33"/>
      <c r="C32" s="34"/>
      <c r="D32" s="34"/>
      <c r="E32" s="34"/>
      <c r="F32" s="34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</row>
    <row r="33" spans="1:23" x14ac:dyDescent="0.25">
      <c r="A33" s="32"/>
      <c r="B33" s="33"/>
      <c r="C33" s="34"/>
      <c r="D33" s="34"/>
      <c r="E33" s="34"/>
      <c r="F33" s="34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1:23" x14ac:dyDescent="0.25">
      <c r="A34" s="32"/>
      <c r="B34" s="33"/>
      <c r="C34" s="34"/>
      <c r="D34" s="34"/>
      <c r="E34" s="34"/>
      <c r="F34" s="34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</row>
    <row r="35" spans="1:23" x14ac:dyDescent="0.25">
      <c r="A35" s="32"/>
      <c r="B35" s="33"/>
      <c r="C35" s="34"/>
      <c r="D35" s="34"/>
      <c r="E35" s="34"/>
      <c r="F35" s="34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</row>
    <row r="36" spans="1:23" x14ac:dyDescent="0.25">
      <c r="A36" s="32"/>
      <c r="B36" s="33"/>
      <c r="C36" s="34"/>
      <c r="D36" s="34"/>
      <c r="E36" s="34"/>
      <c r="F36" s="34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</row>
    <row r="37" spans="1:23" x14ac:dyDescent="0.25">
      <c r="A37" s="32"/>
      <c r="B37" s="33"/>
      <c r="C37" s="34"/>
      <c r="D37" s="34"/>
      <c r="E37" s="34"/>
      <c r="F37" s="34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</row>
    <row r="38" spans="1:23" x14ac:dyDescent="0.25">
      <c r="A38" s="32"/>
      <c r="B38" s="33"/>
      <c r="C38" s="34"/>
      <c r="D38" s="34"/>
      <c r="E38" s="34"/>
      <c r="F38" s="34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</row>
    <row r="39" spans="1:23" x14ac:dyDescent="0.25">
      <c r="A39" s="32"/>
      <c r="B39" s="33"/>
      <c r="C39" s="34"/>
      <c r="D39" s="34"/>
      <c r="E39" s="34"/>
      <c r="F39" s="34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</row>
    <row r="40" spans="1:23" x14ac:dyDescent="0.25">
      <c r="A40" s="32"/>
      <c r="B40" s="33"/>
      <c r="C40" s="34"/>
      <c r="D40" s="34"/>
      <c r="E40" s="34"/>
      <c r="F40" s="34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</row>
    <row r="41" spans="1:23" x14ac:dyDescent="0.25">
      <c r="A41" s="32"/>
      <c r="B41" s="33"/>
      <c r="C41" s="34"/>
      <c r="D41" s="34"/>
      <c r="E41" s="34"/>
      <c r="F41" s="34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</row>
    <row r="42" spans="1:23" x14ac:dyDescent="0.25">
      <c r="A42" s="32"/>
      <c r="B42" s="33"/>
      <c r="C42" s="34"/>
      <c r="D42" s="34"/>
      <c r="E42" s="34"/>
      <c r="F42" s="34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</row>
    <row r="43" spans="1:23" x14ac:dyDescent="0.25">
      <c r="A43" s="32"/>
      <c r="B43" s="33"/>
      <c r="C43" s="34"/>
      <c r="D43" s="34"/>
      <c r="E43" s="34"/>
      <c r="F43" s="34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</row>
    <row r="44" spans="1:23" x14ac:dyDescent="0.25">
      <c r="A44" s="32"/>
      <c r="B44" s="33"/>
      <c r="C44" s="34"/>
      <c r="D44" s="34"/>
      <c r="E44" s="34"/>
      <c r="F44" s="34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</row>
    <row r="45" spans="1:23" x14ac:dyDescent="0.25">
      <c r="A45" s="32"/>
      <c r="B45" s="33"/>
      <c r="C45" s="34"/>
      <c r="D45" s="34"/>
      <c r="E45" s="34"/>
      <c r="F45" s="34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</row>
    <row r="46" spans="1:23" x14ac:dyDescent="0.25">
      <c r="A46" s="32"/>
      <c r="B46" s="33"/>
      <c r="C46" s="34"/>
      <c r="D46" s="34"/>
      <c r="E46" s="34"/>
      <c r="F46" s="34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</row>
    <row r="47" spans="1:23" x14ac:dyDescent="0.25">
      <c r="A47" s="32"/>
      <c r="B47" s="33"/>
      <c r="C47" s="34"/>
      <c r="D47" s="34"/>
      <c r="E47" s="34"/>
      <c r="F47" s="34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</row>
    <row r="48" spans="1:23" x14ac:dyDescent="0.25">
      <c r="A48" s="32"/>
      <c r="B48" s="33"/>
      <c r="C48" s="34"/>
      <c r="D48" s="34"/>
      <c r="E48" s="34"/>
      <c r="F48" s="34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</row>
    <row r="49" spans="1:23" x14ac:dyDescent="0.25">
      <c r="A49" s="32"/>
      <c r="B49" s="33"/>
      <c r="C49" s="34"/>
      <c r="D49" s="34"/>
      <c r="E49" s="34"/>
      <c r="F49" s="34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</row>
    <row r="50" spans="1:23" x14ac:dyDescent="0.25">
      <c r="A50" s="32"/>
      <c r="B50" s="33"/>
      <c r="C50" s="34"/>
      <c r="D50" s="34"/>
      <c r="E50" s="34"/>
      <c r="F50" s="34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</row>
    <row r="51" spans="1:23" x14ac:dyDescent="0.25">
      <c r="A51" s="32"/>
      <c r="B51" s="33"/>
      <c r="C51" s="34"/>
      <c r="D51" s="34"/>
      <c r="E51" s="34"/>
      <c r="F51" s="34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</row>
    <row r="52" spans="1:23" x14ac:dyDescent="0.25">
      <c r="A52" s="32"/>
      <c r="B52" s="33"/>
      <c r="C52" s="34"/>
      <c r="D52" s="34"/>
      <c r="E52" s="34"/>
      <c r="F52" s="34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</row>
    <row r="53" spans="1:23" x14ac:dyDescent="0.25">
      <c r="A53" s="32"/>
      <c r="B53" s="33"/>
      <c r="C53" s="34"/>
      <c r="D53" s="34"/>
      <c r="E53" s="34"/>
      <c r="F53" s="34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</row>
    <row r="54" spans="1:23" x14ac:dyDescent="0.25">
      <c r="A54" s="32"/>
      <c r="B54" s="33"/>
      <c r="C54" s="34"/>
      <c r="D54" s="34"/>
      <c r="E54" s="34"/>
      <c r="F54" s="34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</row>
    <row r="55" spans="1:23" x14ac:dyDescent="0.25">
      <c r="A55" s="32"/>
      <c r="B55" s="33"/>
      <c r="C55" s="34"/>
      <c r="D55" s="34"/>
      <c r="E55" s="34"/>
      <c r="F55" s="34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</row>
    <row r="56" spans="1:23" x14ac:dyDescent="0.25">
      <c r="A56" s="32"/>
      <c r="B56" s="33"/>
      <c r="C56" s="34"/>
      <c r="D56" s="34"/>
      <c r="E56" s="34"/>
      <c r="F56" s="34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</row>
    <row r="57" spans="1:23" x14ac:dyDescent="0.25">
      <c r="A57" s="32"/>
      <c r="B57" s="33"/>
      <c r="C57" s="34"/>
      <c r="D57" s="34"/>
      <c r="E57" s="34"/>
      <c r="F57" s="34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</row>
    <row r="58" spans="1:23" x14ac:dyDescent="0.25">
      <c r="A58" s="32"/>
      <c r="B58" s="33"/>
      <c r="C58" s="34"/>
      <c r="D58" s="34"/>
      <c r="E58" s="34"/>
      <c r="F58" s="34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</row>
    <row r="59" spans="1:23" x14ac:dyDescent="0.25">
      <c r="A59" s="32"/>
      <c r="B59" s="33"/>
      <c r="C59" s="34"/>
      <c r="D59" s="34"/>
      <c r="E59" s="34"/>
      <c r="F59" s="34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</row>
    <row r="60" spans="1:23" x14ac:dyDescent="0.25">
      <c r="A60" s="32"/>
      <c r="B60" s="33"/>
      <c r="C60" s="34"/>
      <c r="D60" s="34"/>
      <c r="E60" s="34"/>
      <c r="F60" s="34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</row>
    <row r="61" spans="1:23" x14ac:dyDescent="0.25">
      <c r="A61" s="32"/>
      <c r="B61" s="33"/>
      <c r="C61" s="34"/>
      <c r="D61" s="34"/>
      <c r="E61" s="34"/>
      <c r="F61" s="34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</row>
    <row r="62" spans="1:23" x14ac:dyDescent="0.25">
      <c r="A62" s="32"/>
      <c r="B62" s="33"/>
      <c r="C62" s="34"/>
      <c r="D62" s="34"/>
      <c r="E62" s="34"/>
      <c r="F62" s="34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</row>
    <row r="63" spans="1:23" x14ac:dyDescent="0.25">
      <c r="A63" s="32"/>
      <c r="B63" s="33"/>
      <c r="C63" s="34"/>
      <c r="D63" s="34"/>
      <c r="E63" s="34"/>
      <c r="F63" s="34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</row>
  </sheetData>
  <mergeCells count="6">
    <mergeCell ref="B3:C3"/>
    <mergeCell ref="D3:F3"/>
    <mergeCell ref="B4:C4"/>
    <mergeCell ref="D4:F4"/>
    <mergeCell ref="B5:C5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"/>
  <sheetViews>
    <sheetView workbookViewId="0">
      <selection activeCell="H5" sqref="H5"/>
    </sheetView>
  </sheetViews>
  <sheetFormatPr defaultRowHeight="15" x14ac:dyDescent="0.25"/>
  <cols>
    <col min="1" max="1" width="18" customWidth="1"/>
    <col min="2" max="2" width="30" customWidth="1"/>
    <col min="3" max="3" width="28" customWidth="1"/>
    <col min="4" max="4" width="52" customWidth="1"/>
    <col min="5" max="5" width="32" customWidth="1"/>
    <col min="6" max="6" width="36" customWidth="1"/>
    <col min="7" max="7" width="10" customWidth="1"/>
    <col min="8" max="8" width="16" customWidth="1"/>
    <col min="9" max="9" width="12" customWidth="1"/>
  </cols>
  <sheetData>
    <row r="1" spans="1:12" ht="15" customHeight="1" thickBot="1" x14ac:dyDescent="0.3">
      <c r="A1" s="2"/>
      <c r="B1" s="3"/>
      <c r="C1" s="3"/>
      <c r="D1" s="3"/>
      <c r="E1" s="3"/>
      <c r="F1" s="3"/>
      <c r="G1" s="2"/>
      <c r="H1" s="2"/>
      <c r="I1" s="3"/>
      <c r="J1" s="3"/>
      <c r="K1" s="3"/>
      <c r="L1" s="3"/>
    </row>
    <row r="2" spans="1:12" x14ac:dyDescent="0.25">
      <c r="A2" s="4"/>
      <c r="B2" s="5" t="s">
        <v>0</v>
      </c>
      <c r="C2" s="5" t="str">
        <f>HYPERLINK("#'Test case List'!A1","Test case List")</f>
        <v>Test case List</v>
      </c>
      <c r="D2" s="4"/>
      <c r="E2" s="4"/>
      <c r="F2" s="4"/>
      <c r="G2" s="6" t="s">
        <v>1</v>
      </c>
      <c r="H2" s="7">
        <f>COUNTIF($A$9:$A$852, "TC*")</f>
        <v>3</v>
      </c>
      <c r="I2" s="4"/>
      <c r="J2" s="4"/>
      <c r="K2" s="4"/>
      <c r="L2" s="4"/>
    </row>
    <row r="3" spans="1:12" x14ac:dyDescent="0.25">
      <c r="A3" s="4"/>
      <c r="B3" s="8" t="s">
        <v>2</v>
      </c>
      <c r="C3" s="9" t="s">
        <v>43</v>
      </c>
      <c r="D3" s="4"/>
      <c r="E3" s="4"/>
      <c r="F3" s="4"/>
      <c r="G3" s="10" t="s">
        <v>4</v>
      </c>
      <c r="H3" s="11">
        <f>(COUNTIF(H$9:H44,"Pass"))</f>
        <v>0</v>
      </c>
      <c r="I3" s="4"/>
      <c r="J3" s="4"/>
      <c r="K3" s="4"/>
      <c r="L3" s="4"/>
    </row>
    <row r="4" spans="1:12" ht="15.75" thickBot="1" x14ac:dyDescent="0.3">
      <c r="A4" s="4"/>
      <c r="B4" s="12" t="s">
        <v>5</v>
      </c>
      <c r="C4" s="13" t="s">
        <v>6</v>
      </c>
      <c r="D4" s="4"/>
      <c r="E4" s="4"/>
      <c r="F4" s="4"/>
      <c r="G4" s="10" t="s">
        <v>7</v>
      </c>
      <c r="H4" s="11">
        <f>(COUNTIF(H9:H45,"Fail"))</f>
        <v>0</v>
      </c>
      <c r="I4" s="4"/>
      <c r="J4" s="4"/>
      <c r="K4" s="4"/>
      <c r="L4" s="4"/>
    </row>
    <row r="5" spans="1:12" ht="15.75" thickBot="1" x14ac:dyDescent="0.3">
      <c r="A5" s="4"/>
      <c r="B5" s="14"/>
      <c r="C5" s="14"/>
      <c r="D5" s="4"/>
      <c r="E5" s="4"/>
      <c r="F5" s="4"/>
      <c r="G5" s="10" t="s">
        <v>8</v>
      </c>
      <c r="H5" s="11">
        <f>(COUNTIF(H9:H46,"Untest"))</f>
        <v>3</v>
      </c>
      <c r="I5" s="4"/>
      <c r="J5" s="4"/>
      <c r="K5" s="4"/>
      <c r="L5" s="4"/>
    </row>
    <row r="6" spans="1:12" ht="15.75" thickBot="1" x14ac:dyDescent="0.3">
      <c r="A6" s="14"/>
      <c r="B6" s="15" t="s">
        <v>9</v>
      </c>
      <c r="C6" s="16" t="str">
        <f>ROUND((H3 / (H2-H6))*100,2)&amp;"%"</f>
        <v>0%</v>
      </c>
      <c r="D6" s="4"/>
      <c r="E6" s="4"/>
      <c r="F6" s="4"/>
      <c r="G6" s="17" t="s">
        <v>10</v>
      </c>
      <c r="H6" s="11">
        <f>(COUNTIF(H9:H47,"N/A"))</f>
        <v>0</v>
      </c>
      <c r="I6" s="4"/>
      <c r="J6" s="4"/>
      <c r="K6" s="4"/>
      <c r="L6" s="4"/>
    </row>
    <row r="7" spans="1:12" x14ac:dyDescent="0.25">
      <c r="A7" s="19"/>
      <c r="B7" s="19"/>
      <c r="C7" s="19"/>
      <c r="D7" s="20"/>
      <c r="E7" s="20"/>
      <c r="F7" s="21"/>
      <c r="G7" s="21"/>
      <c r="H7" s="21"/>
      <c r="I7" s="19"/>
      <c r="J7" s="19"/>
      <c r="K7" s="19"/>
      <c r="L7" s="19"/>
    </row>
    <row r="8" spans="1:12" x14ac:dyDescent="0.25">
      <c r="A8" s="23" t="s">
        <v>11</v>
      </c>
      <c r="B8" s="23" t="s">
        <v>12</v>
      </c>
      <c r="C8" s="23" t="s">
        <v>13</v>
      </c>
      <c r="D8" s="23" t="s">
        <v>14</v>
      </c>
      <c r="E8" s="23" t="s">
        <v>15</v>
      </c>
      <c r="F8" s="23" t="s">
        <v>16</v>
      </c>
      <c r="G8" s="23" t="s">
        <v>17</v>
      </c>
      <c r="H8" s="23" t="s">
        <v>18</v>
      </c>
      <c r="I8" s="23" t="s">
        <v>19</v>
      </c>
      <c r="J8" s="3"/>
      <c r="K8" s="3"/>
      <c r="L8" s="3"/>
    </row>
    <row r="9" spans="1:12" ht="156.75" x14ac:dyDescent="0.25">
      <c r="A9" s="24" t="s">
        <v>44</v>
      </c>
      <c r="B9" s="24" t="s">
        <v>21</v>
      </c>
      <c r="C9" s="24" t="s">
        <v>45</v>
      </c>
      <c r="D9" s="24" t="s">
        <v>46</v>
      </c>
      <c r="E9" s="24" t="s">
        <v>47</v>
      </c>
      <c r="F9" s="24" t="s">
        <v>48</v>
      </c>
      <c r="G9" s="24"/>
      <c r="H9" s="25" t="s">
        <v>8</v>
      </c>
      <c r="I9" s="1"/>
      <c r="J9" s="4"/>
      <c r="K9" s="4"/>
      <c r="L9" s="4"/>
    </row>
    <row r="10" spans="1:12" ht="156.75" x14ac:dyDescent="0.25">
      <c r="A10" s="24" t="s">
        <v>49</v>
      </c>
      <c r="B10" s="24" t="s">
        <v>50</v>
      </c>
      <c r="C10" s="24" t="s">
        <v>51</v>
      </c>
      <c r="D10" s="24" t="s">
        <v>52</v>
      </c>
      <c r="E10" s="24" t="s">
        <v>53</v>
      </c>
      <c r="F10" s="24" t="s">
        <v>54</v>
      </c>
      <c r="G10" s="24"/>
      <c r="H10" s="25" t="s">
        <v>8</v>
      </c>
      <c r="I10" s="1"/>
      <c r="J10" s="4"/>
      <c r="K10" s="4"/>
      <c r="L10" s="4"/>
    </row>
    <row r="11" spans="1:12" ht="156.75" x14ac:dyDescent="0.25">
      <c r="A11" s="24" t="s">
        <v>55</v>
      </c>
      <c r="B11" s="24" t="s">
        <v>56</v>
      </c>
      <c r="C11" s="24" t="s">
        <v>57</v>
      </c>
      <c r="D11" s="24" t="s">
        <v>58</v>
      </c>
      <c r="E11" s="24" t="s">
        <v>59</v>
      </c>
      <c r="F11" s="24" t="s">
        <v>60</v>
      </c>
      <c r="G11" s="24"/>
      <c r="H11" s="25" t="s">
        <v>8</v>
      </c>
      <c r="I11" s="1"/>
      <c r="J11" s="4"/>
      <c r="K11" s="4"/>
      <c r="L11" s="4"/>
    </row>
    <row r="12" spans="1:12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</row>
    <row r="15" spans="1:12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</sheetData>
  <dataValidations count="1">
    <dataValidation type="list" allowBlank="1" showInputMessage="1" showErrorMessage="1" sqref="H9:H11" xr:uid="{A890F334-92C7-4043-8CF6-F8BC1CC58AEC}">
      <formula1>"'Pass,'Fail,'Untest,'N/A"</formula1>
    </dataValidation>
  </dataValidations>
  <hyperlinks>
    <hyperlink ref="B2" location="null!A1" display="Back to TestReport" xr:uid="{39367E0D-BF9F-4DBE-9B57-35081FCF170E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4"/>
  <sheetViews>
    <sheetView workbookViewId="0">
      <selection activeCell="H7" sqref="H7"/>
    </sheetView>
  </sheetViews>
  <sheetFormatPr defaultRowHeight="15" x14ac:dyDescent="0.25"/>
  <cols>
    <col min="1" max="1" width="18" customWidth="1"/>
    <col min="2" max="2" width="30" customWidth="1"/>
    <col min="3" max="3" width="28" customWidth="1"/>
    <col min="4" max="4" width="52" customWidth="1"/>
    <col min="5" max="5" width="32" customWidth="1"/>
    <col min="6" max="6" width="36" customWidth="1"/>
    <col min="7" max="7" width="10" customWidth="1"/>
    <col min="8" max="8" width="16" customWidth="1"/>
    <col min="9" max="9" width="12" customWidth="1"/>
  </cols>
  <sheetData>
    <row r="1" spans="1:11" ht="15" customHeight="1" thickBot="1" x14ac:dyDescent="0.3">
      <c r="A1" s="2"/>
      <c r="B1" s="3"/>
      <c r="C1" s="3"/>
      <c r="D1" s="3"/>
      <c r="E1" s="3"/>
      <c r="F1" s="3"/>
      <c r="G1" s="2"/>
      <c r="H1" s="2"/>
      <c r="I1" s="3"/>
      <c r="J1" s="3"/>
      <c r="K1" s="3"/>
    </row>
    <row r="2" spans="1:11" x14ac:dyDescent="0.25">
      <c r="A2" s="4"/>
      <c r="B2" s="5" t="s">
        <v>0</v>
      </c>
      <c r="C2" s="5" t="str">
        <f>HYPERLINK("#'Test case List'!A1","Test case List")</f>
        <v>Test case List</v>
      </c>
      <c r="D2" s="4"/>
      <c r="E2" s="4"/>
      <c r="F2" s="4"/>
      <c r="G2" s="6" t="s">
        <v>1</v>
      </c>
      <c r="H2" s="7">
        <f>COUNTIF($A$9:$A$841, "TC*")</f>
        <v>3</v>
      </c>
      <c r="I2" s="4"/>
      <c r="J2" s="4"/>
      <c r="K2" s="4"/>
    </row>
    <row r="3" spans="1:11" x14ac:dyDescent="0.25">
      <c r="A3" s="4"/>
      <c r="B3" s="8" t="s">
        <v>2</v>
      </c>
      <c r="C3" s="9" t="s">
        <v>222</v>
      </c>
      <c r="D3" s="4"/>
      <c r="E3" s="4"/>
      <c r="F3" s="4"/>
      <c r="G3" s="10" t="s">
        <v>4</v>
      </c>
      <c r="H3" s="11">
        <f>(COUNTIF(H9:H29,"Pass"))</f>
        <v>0</v>
      </c>
      <c r="I3" s="4"/>
      <c r="J3" s="4"/>
      <c r="K3" s="4"/>
    </row>
    <row r="4" spans="1:11" ht="15.75" thickBot="1" x14ac:dyDescent="0.3">
      <c r="A4" s="4"/>
      <c r="B4" s="12" t="s">
        <v>5</v>
      </c>
      <c r="C4" s="13" t="s">
        <v>6</v>
      </c>
      <c r="D4" s="4"/>
      <c r="E4" s="4"/>
      <c r="F4" s="4"/>
      <c r="G4" s="10" t="s">
        <v>7</v>
      </c>
      <c r="H4" s="11">
        <f>(COUNTIF(H9:H29,"Fail"))</f>
        <v>0</v>
      </c>
      <c r="I4" s="4"/>
      <c r="J4" s="4"/>
      <c r="K4" s="4"/>
    </row>
    <row r="5" spans="1:11" ht="15.75" thickBot="1" x14ac:dyDescent="0.3">
      <c r="A5" s="4"/>
      <c r="B5" s="14"/>
      <c r="C5" s="14"/>
      <c r="D5" s="4"/>
      <c r="E5" s="4"/>
      <c r="F5" s="4"/>
      <c r="G5" s="10" t="s">
        <v>8</v>
      </c>
      <c r="H5" s="11">
        <f>(COUNTIF(H9:H45,"Untest"))</f>
        <v>3</v>
      </c>
      <c r="I5" s="4"/>
      <c r="J5" s="4"/>
      <c r="K5" s="4"/>
    </row>
    <row r="6" spans="1:11" ht="15.75" thickBot="1" x14ac:dyDescent="0.3">
      <c r="A6" s="14"/>
      <c r="B6" s="15" t="s">
        <v>9</v>
      </c>
      <c r="C6" s="16" t="str">
        <f>ROUND((H3 / (H2-H6))*100,2)&amp;"%"</f>
        <v>0%</v>
      </c>
      <c r="D6" s="4"/>
      <c r="E6" s="4"/>
      <c r="F6" s="4"/>
      <c r="G6" s="17" t="s">
        <v>10</v>
      </c>
      <c r="H6" s="18">
        <f>(COUNTIF(H9:H29,"N/A"))</f>
        <v>0</v>
      </c>
      <c r="I6" s="4"/>
      <c r="J6" s="4"/>
      <c r="K6" s="4"/>
    </row>
    <row r="7" spans="1:11" x14ac:dyDescent="0.25">
      <c r="A7" s="19"/>
      <c r="B7" s="19"/>
      <c r="C7" s="19"/>
      <c r="D7" s="20"/>
      <c r="E7" s="20"/>
      <c r="F7" s="21"/>
      <c r="G7" s="21"/>
      <c r="H7" s="21"/>
      <c r="I7" s="19"/>
      <c r="J7" s="19"/>
      <c r="K7" s="19"/>
    </row>
    <row r="8" spans="1:11" x14ac:dyDescent="0.25">
      <c r="A8" s="23" t="s">
        <v>11</v>
      </c>
      <c r="B8" s="23" t="s">
        <v>12</v>
      </c>
      <c r="C8" s="23" t="s">
        <v>13</v>
      </c>
      <c r="D8" s="23" t="s">
        <v>14</v>
      </c>
      <c r="E8" s="23" t="s">
        <v>15</v>
      </c>
      <c r="F8" s="23" t="s">
        <v>16</v>
      </c>
      <c r="G8" s="23" t="s">
        <v>17</v>
      </c>
      <c r="H8" s="23" t="s">
        <v>18</v>
      </c>
      <c r="I8" s="23" t="s">
        <v>19</v>
      </c>
      <c r="J8" s="3"/>
      <c r="K8" s="3"/>
    </row>
    <row r="9" spans="1:11" ht="206.1" customHeight="1" x14ac:dyDescent="0.25">
      <c r="A9" s="25" t="s">
        <v>62</v>
      </c>
      <c r="B9" s="25" t="s">
        <v>21</v>
      </c>
      <c r="C9" s="25" t="s">
        <v>63</v>
      </c>
      <c r="D9" s="25" t="s">
        <v>220</v>
      </c>
      <c r="E9" s="25" t="s">
        <v>64</v>
      </c>
      <c r="F9" s="25" t="s">
        <v>65</v>
      </c>
      <c r="G9" s="25"/>
      <c r="H9" s="25" t="s">
        <v>8</v>
      </c>
      <c r="I9" s="25"/>
      <c r="J9" s="4"/>
      <c r="K9" s="4"/>
    </row>
    <row r="10" spans="1:11" ht="164.1" customHeight="1" x14ac:dyDescent="0.25">
      <c r="A10" s="25" t="s">
        <v>66</v>
      </c>
      <c r="B10" s="25" t="s">
        <v>67</v>
      </c>
      <c r="C10" s="25" t="s">
        <v>68</v>
      </c>
      <c r="D10" s="25" t="s">
        <v>69</v>
      </c>
      <c r="E10" s="25" t="s">
        <v>70</v>
      </c>
      <c r="F10" s="25" t="s">
        <v>71</v>
      </c>
      <c r="G10" s="25"/>
      <c r="H10" s="25" t="s">
        <v>8</v>
      </c>
      <c r="I10" s="25"/>
      <c r="J10" s="4"/>
      <c r="K10" s="4"/>
    </row>
    <row r="11" spans="1:11" ht="165.95" customHeight="1" x14ac:dyDescent="0.25">
      <c r="A11" s="25" t="s">
        <v>72</v>
      </c>
      <c r="B11" s="25" t="s">
        <v>56</v>
      </c>
      <c r="C11" s="25" t="s">
        <v>73</v>
      </c>
      <c r="D11" s="25" t="s">
        <v>74</v>
      </c>
      <c r="E11" s="25" t="s">
        <v>75</v>
      </c>
      <c r="F11" s="25" t="s">
        <v>76</v>
      </c>
      <c r="G11" s="25"/>
      <c r="H11" s="25" t="s">
        <v>8</v>
      </c>
      <c r="I11" s="25"/>
      <c r="J11" s="4"/>
      <c r="K11" s="4"/>
    </row>
    <row r="12" spans="1:1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</row>
  </sheetData>
  <dataValidations count="1">
    <dataValidation type="list" allowBlank="1" showInputMessage="1" showErrorMessage="1" sqref="H9:H11" xr:uid="{3A9BE1BA-8A88-4B44-BB02-91B515875F0A}">
      <formula1>"'Pass,'Fail,'Untest,'N/A"</formula1>
    </dataValidation>
  </dataValidations>
  <hyperlinks>
    <hyperlink ref="B2" location="null!A1" display="Back to TestReport" xr:uid="{AB1EF262-5747-4624-B846-288C2746E24A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4"/>
  <sheetViews>
    <sheetView topLeftCell="E6" workbookViewId="0">
      <selection activeCell="H4" sqref="H4"/>
    </sheetView>
  </sheetViews>
  <sheetFormatPr defaultRowHeight="15" x14ac:dyDescent="0.25"/>
  <cols>
    <col min="1" max="1" width="18" customWidth="1"/>
    <col min="2" max="2" width="30" customWidth="1"/>
    <col min="3" max="3" width="28" customWidth="1"/>
    <col min="4" max="4" width="52" customWidth="1"/>
    <col min="5" max="5" width="32" customWidth="1"/>
    <col min="6" max="6" width="36" customWidth="1"/>
    <col min="7" max="7" width="10" customWidth="1"/>
    <col min="8" max="8" width="16" customWidth="1"/>
    <col min="9" max="9" width="12" customWidth="1"/>
  </cols>
  <sheetData>
    <row r="1" spans="1:11" ht="15" customHeight="1" thickBot="1" x14ac:dyDescent="0.3">
      <c r="A1" s="2"/>
      <c r="B1" s="3"/>
      <c r="C1" s="3"/>
      <c r="D1" s="3"/>
      <c r="E1" s="3"/>
      <c r="F1" s="3"/>
      <c r="G1" s="2"/>
      <c r="H1" s="2"/>
      <c r="I1" s="3"/>
      <c r="J1" s="3"/>
      <c r="K1" s="3"/>
    </row>
    <row r="2" spans="1:11" x14ac:dyDescent="0.25">
      <c r="A2" s="4"/>
      <c r="B2" s="5" t="s">
        <v>0</v>
      </c>
      <c r="C2" s="5" t="str">
        <f>HYPERLINK("#'Test case List'!A1","Test case List")</f>
        <v>Test case List</v>
      </c>
      <c r="D2" s="4"/>
      <c r="E2" s="4"/>
      <c r="F2" s="4"/>
      <c r="G2" s="6" t="s">
        <v>1</v>
      </c>
      <c r="H2" s="7">
        <f>COUNTIF($A$9:$A$843, "TC*")</f>
        <v>3</v>
      </c>
      <c r="I2" s="4"/>
      <c r="J2" s="4"/>
      <c r="K2" s="4"/>
    </row>
    <row r="3" spans="1:11" x14ac:dyDescent="0.25">
      <c r="A3" s="4"/>
      <c r="B3" s="8" t="s">
        <v>2</v>
      </c>
      <c r="C3" s="9" t="s">
        <v>223</v>
      </c>
      <c r="D3" s="4"/>
      <c r="E3" s="4"/>
      <c r="F3" s="4"/>
      <c r="G3" s="10" t="s">
        <v>4</v>
      </c>
      <c r="H3" s="11">
        <f>(COUNTIF(H10:H32,"Pass"))</f>
        <v>0</v>
      </c>
      <c r="I3" s="4"/>
      <c r="J3" s="4"/>
      <c r="K3" s="4"/>
    </row>
    <row r="4" spans="1:11" ht="15.75" thickBot="1" x14ac:dyDescent="0.3">
      <c r="A4" s="4"/>
      <c r="B4" s="12" t="s">
        <v>5</v>
      </c>
      <c r="C4" s="13" t="s">
        <v>6</v>
      </c>
      <c r="D4" s="4"/>
      <c r="E4" s="4"/>
      <c r="F4" s="4"/>
      <c r="G4" s="10" t="s">
        <v>7</v>
      </c>
      <c r="H4" s="11">
        <f>(COUNTIF(H9:H32,"Fail"))</f>
        <v>0</v>
      </c>
      <c r="I4" s="4"/>
      <c r="J4" s="4"/>
      <c r="K4" s="4"/>
    </row>
    <row r="5" spans="1:11" ht="15.75" thickBot="1" x14ac:dyDescent="0.3">
      <c r="A5" s="4"/>
      <c r="B5" s="14"/>
      <c r="C5" s="14"/>
      <c r="D5" s="4"/>
      <c r="E5" s="4"/>
      <c r="F5" s="4"/>
      <c r="G5" s="10" t="s">
        <v>8</v>
      </c>
      <c r="H5" s="11">
        <f>(COUNTIF(H9:H45,"Untest"))</f>
        <v>3</v>
      </c>
      <c r="I5" s="4"/>
      <c r="J5" s="4"/>
      <c r="K5" s="4"/>
    </row>
    <row r="6" spans="1:11" ht="15.75" thickBot="1" x14ac:dyDescent="0.3">
      <c r="A6" s="14"/>
      <c r="B6" s="15" t="s">
        <v>9</v>
      </c>
      <c r="C6" s="16" t="str">
        <f>ROUND((H3 / (H2-H6))*100,2)&amp;"%"</f>
        <v>0%</v>
      </c>
      <c r="D6" s="4"/>
      <c r="E6" s="4"/>
      <c r="F6" s="4"/>
      <c r="G6" s="17" t="s">
        <v>10</v>
      </c>
      <c r="H6" s="18">
        <f>(COUNTIF(H9:H32,"N/A"))</f>
        <v>0</v>
      </c>
      <c r="I6" s="4"/>
      <c r="J6" s="4"/>
      <c r="K6" s="4"/>
    </row>
    <row r="7" spans="1:11" x14ac:dyDescent="0.25">
      <c r="A7" s="19"/>
      <c r="B7" s="19"/>
      <c r="C7" s="19"/>
      <c r="D7" s="20"/>
      <c r="E7" s="20"/>
      <c r="F7" s="21"/>
      <c r="G7" s="21"/>
      <c r="H7" s="21"/>
      <c r="I7" s="19"/>
      <c r="J7" s="19"/>
      <c r="K7" s="19"/>
    </row>
    <row r="8" spans="1:11" x14ac:dyDescent="0.25">
      <c r="A8" s="26" t="s">
        <v>11</v>
      </c>
      <c r="B8" s="26" t="s">
        <v>12</v>
      </c>
      <c r="C8" s="26" t="s">
        <v>13</v>
      </c>
      <c r="D8" s="26" t="s">
        <v>14</v>
      </c>
      <c r="E8" s="26" t="s">
        <v>15</v>
      </c>
      <c r="F8" s="26" t="s">
        <v>16</v>
      </c>
      <c r="G8" s="26" t="s">
        <v>17</v>
      </c>
      <c r="H8" s="26" t="s">
        <v>18</v>
      </c>
      <c r="I8" s="26" t="s">
        <v>19</v>
      </c>
      <c r="J8" s="3"/>
      <c r="K8" s="3"/>
    </row>
    <row r="9" spans="1:11" ht="174.95" customHeight="1" x14ac:dyDescent="0.25">
      <c r="A9" s="25" t="s">
        <v>78</v>
      </c>
      <c r="B9" s="25" t="s">
        <v>79</v>
      </c>
      <c r="C9" s="25" t="s">
        <v>80</v>
      </c>
      <c r="D9" s="25" t="s">
        <v>81</v>
      </c>
      <c r="E9" s="25" t="s">
        <v>82</v>
      </c>
      <c r="F9" s="25" t="s">
        <v>83</v>
      </c>
      <c r="G9" s="25"/>
      <c r="H9" s="25" t="s">
        <v>8</v>
      </c>
      <c r="I9" s="25"/>
      <c r="J9" s="4"/>
      <c r="K9" s="4"/>
    </row>
    <row r="10" spans="1:11" ht="174.95" customHeight="1" x14ac:dyDescent="0.25">
      <c r="A10" s="25" t="s">
        <v>84</v>
      </c>
      <c r="B10" s="25" t="s">
        <v>85</v>
      </c>
      <c r="C10" s="25" t="s">
        <v>86</v>
      </c>
      <c r="D10" s="25" t="s">
        <v>87</v>
      </c>
      <c r="E10" s="25" t="s">
        <v>88</v>
      </c>
      <c r="F10" s="25" t="s">
        <v>89</v>
      </c>
      <c r="G10" s="25"/>
      <c r="H10" s="25" t="s">
        <v>8</v>
      </c>
      <c r="I10" s="25"/>
      <c r="J10" s="4"/>
      <c r="K10" s="4"/>
    </row>
    <row r="11" spans="1:11" ht="140.1" customHeight="1" x14ac:dyDescent="0.25">
      <c r="A11" s="25" t="s">
        <v>90</v>
      </c>
      <c r="B11" s="25" t="s">
        <v>56</v>
      </c>
      <c r="C11" s="25" t="s">
        <v>91</v>
      </c>
      <c r="D11" s="25" t="s">
        <v>92</v>
      </c>
      <c r="E11" s="25" t="s">
        <v>93</v>
      </c>
      <c r="F11" s="25" t="s">
        <v>94</v>
      </c>
      <c r="G11" s="25"/>
      <c r="H11" s="25" t="s">
        <v>8</v>
      </c>
      <c r="I11" s="25"/>
      <c r="J11" s="4"/>
      <c r="K11" s="4"/>
    </row>
    <row r="12" spans="1:11" x14ac:dyDescent="0.25">
      <c r="J12" s="4"/>
      <c r="K12" s="4"/>
    </row>
    <row r="13" spans="1:11" x14ac:dyDescent="0.25">
      <c r="J13" s="4"/>
      <c r="K13" s="4"/>
    </row>
    <row r="14" spans="1:11" x14ac:dyDescent="0.25">
      <c r="J14" s="19"/>
      <c r="K14" s="19"/>
    </row>
  </sheetData>
  <dataValidations count="1">
    <dataValidation type="list" allowBlank="1" showInputMessage="1" showErrorMessage="1" sqref="H9:H11" xr:uid="{5EB6A764-97F6-4F2C-8CA4-64B5003334E5}">
      <formula1>"'Pass,'Fail,'Untest,'N/A"</formula1>
    </dataValidation>
  </dataValidations>
  <hyperlinks>
    <hyperlink ref="B2" location="null!A1" display="Back to TestReport" xr:uid="{3CF49D2A-8EB0-47DE-99E0-02EC0725F414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1"/>
  <sheetViews>
    <sheetView workbookViewId="0">
      <selection activeCell="H4" sqref="H4"/>
    </sheetView>
  </sheetViews>
  <sheetFormatPr defaultRowHeight="15" x14ac:dyDescent="0.25"/>
  <cols>
    <col min="1" max="1" width="18" customWidth="1"/>
    <col min="2" max="2" width="30" customWidth="1"/>
    <col min="3" max="3" width="28" customWidth="1"/>
    <col min="4" max="4" width="52" customWidth="1"/>
    <col min="5" max="5" width="32" customWidth="1"/>
    <col min="6" max="6" width="36" customWidth="1"/>
    <col min="7" max="7" width="10" customWidth="1"/>
    <col min="8" max="8" width="16" customWidth="1"/>
    <col min="9" max="9" width="12" customWidth="1"/>
  </cols>
  <sheetData>
    <row r="1" spans="1:11" ht="15" customHeight="1" thickBot="1" x14ac:dyDescent="0.3">
      <c r="A1" s="2"/>
      <c r="B1" s="3"/>
      <c r="C1" s="3"/>
      <c r="D1" s="3"/>
      <c r="E1" s="3"/>
      <c r="F1" s="3"/>
      <c r="G1" s="2"/>
      <c r="H1" s="2"/>
      <c r="I1" s="3"/>
      <c r="J1" s="3"/>
      <c r="K1" s="3"/>
    </row>
    <row r="2" spans="1:11" x14ac:dyDescent="0.25">
      <c r="A2" s="4"/>
      <c r="B2" s="5" t="s">
        <v>0</v>
      </c>
      <c r="C2" s="5" t="str">
        <f>HYPERLINK("#'Test case List'!A1","Test case List")</f>
        <v>Test case List</v>
      </c>
      <c r="D2" s="4"/>
      <c r="E2" s="4"/>
      <c r="F2" s="4"/>
      <c r="G2" s="6" t="s">
        <v>1</v>
      </c>
      <c r="H2" s="7">
        <f>COUNTIF($A$9:$A$840, "TC*")</f>
        <v>3</v>
      </c>
      <c r="I2" s="4"/>
      <c r="J2" s="4"/>
      <c r="K2" s="4"/>
    </row>
    <row r="3" spans="1:11" x14ac:dyDescent="0.25">
      <c r="A3" s="4"/>
      <c r="B3" s="8" t="s">
        <v>2</v>
      </c>
      <c r="C3" s="9" t="s">
        <v>224</v>
      </c>
      <c r="D3" s="4"/>
      <c r="E3" s="4"/>
      <c r="F3" s="4"/>
      <c r="G3" s="10" t="s">
        <v>4</v>
      </c>
      <c r="H3" s="11">
        <f>(COUNTIF(H10:H28,"Pass"))</f>
        <v>0</v>
      </c>
      <c r="I3" s="4"/>
      <c r="J3" s="4"/>
      <c r="K3" s="4"/>
    </row>
    <row r="4" spans="1:11" ht="15.75" thickBot="1" x14ac:dyDescent="0.3">
      <c r="A4" s="4"/>
      <c r="B4" s="12" t="s">
        <v>5</v>
      </c>
      <c r="C4" s="13" t="s">
        <v>6</v>
      </c>
      <c r="D4" s="4"/>
      <c r="E4" s="4"/>
      <c r="F4" s="4"/>
      <c r="G4" s="10" t="s">
        <v>7</v>
      </c>
      <c r="H4" s="11">
        <f>(COUNTIF(H9:H28,"Fail"))</f>
        <v>0</v>
      </c>
      <c r="I4" s="4"/>
      <c r="J4" s="4"/>
      <c r="K4" s="4"/>
    </row>
    <row r="5" spans="1:11" ht="15.75" thickBot="1" x14ac:dyDescent="0.3">
      <c r="A5" s="4"/>
      <c r="B5" s="14"/>
      <c r="C5" s="14"/>
      <c r="D5" s="4"/>
      <c r="E5" s="4"/>
      <c r="F5" s="4"/>
      <c r="G5" s="10" t="s">
        <v>8</v>
      </c>
      <c r="H5" s="11">
        <f>(COUNTIF(H9:H45,"Untest"))</f>
        <v>3</v>
      </c>
      <c r="I5" s="4"/>
      <c r="J5" s="4"/>
      <c r="K5" s="4"/>
    </row>
    <row r="6" spans="1:11" ht="15.75" thickBot="1" x14ac:dyDescent="0.3">
      <c r="A6" s="14"/>
      <c r="B6" s="15" t="s">
        <v>9</v>
      </c>
      <c r="C6" s="16" t="str">
        <f>ROUND((H3 / (H2-H6))*100,2)&amp;"%"</f>
        <v>0%</v>
      </c>
      <c r="D6" s="4"/>
      <c r="E6" s="4"/>
      <c r="F6" s="4"/>
      <c r="G6" s="17" t="s">
        <v>10</v>
      </c>
      <c r="H6" s="18">
        <f>(COUNTIF(H9:H28,"N/A"))</f>
        <v>0</v>
      </c>
      <c r="I6" s="4"/>
      <c r="J6" s="4"/>
      <c r="K6" s="4"/>
    </row>
    <row r="7" spans="1:11" x14ac:dyDescent="0.25">
      <c r="A7" s="19"/>
      <c r="B7" s="19"/>
      <c r="C7" s="19"/>
      <c r="D7" s="20"/>
      <c r="E7" s="20"/>
      <c r="F7" s="21"/>
      <c r="G7" s="21"/>
      <c r="H7" s="21"/>
      <c r="I7" s="19"/>
      <c r="J7" s="19"/>
      <c r="K7" s="19"/>
    </row>
    <row r="8" spans="1:11" x14ac:dyDescent="0.25">
      <c r="A8" s="26" t="s">
        <v>11</v>
      </c>
      <c r="B8" s="26" t="s">
        <v>12</v>
      </c>
      <c r="C8" s="26" t="s">
        <v>13</v>
      </c>
      <c r="D8" s="26" t="s">
        <v>14</v>
      </c>
      <c r="E8" s="26" t="s">
        <v>15</v>
      </c>
      <c r="F8" s="26" t="s">
        <v>16</v>
      </c>
      <c r="G8" s="26" t="s">
        <v>17</v>
      </c>
      <c r="H8" s="26" t="s">
        <v>18</v>
      </c>
      <c r="I8" s="26" t="s">
        <v>19</v>
      </c>
    </row>
    <row r="9" spans="1:11" ht="126" customHeight="1" x14ac:dyDescent="0.25">
      <c r="A9" s="25" t="s">
        <v>96</v>
      </c>
      <c r="B9" s="25" t="s">
        <v>97</v>
      </c>
      <c r="C9" s="25" t="s">
        <v>98</v>
      </c>
      <c r="D9" s="25" t="s">
        <v>99</v>
      </c>
      <c r="E9" s="25" t="s">
        <v>100</v>
      </c>
      <c r="F9" s="25" t="s">
        <v>101</v>
      </c>
      <c r="G9" s="25"/>
      <c r="H9" s="25" t="s">
        <v>8</v>
      </c>
      <c r="I9" s="25"/>
    </row>
    <row r="10" spans="1:11" ht="155.1" customHeight="1" x14ac:dyDescent="0.25">
      <c r="A10" s="25" t="s">
        <v>102</v>
      </c>
      <c r="B10" s="25" t="s">
        <v>103</v>
      </c>
      <c r="C10" s="25" t="s">
        <v>104</v>
      </c>
      <c r="D10" s="25" t="s">
        <v>105</v>
      </c>
      <c r="E10" s="25" t="s">
        <v>106</v>
      </c>
      <c r="F10" s="25" t="s">
        <v>107</v>
      </c>
      <c r="G10" s="25"/>
      <c r="H10" s="25" t="s">
        <v>8</v>
      </c>
      <c r="I10" s="25"/>
    </row>
    <row r="11" spans="1:11" ht="105" customHeight="1" x14ac:dyDescent="0.25">
      <c r="A11" s="25" t="s">
        <v>108</v>
      </c>
      <c r="B11" s="25" t="s">
        <v>56</v>
      </c>
      <c r="C11" s="25" t="s">
        <v>109</v>
      </c>
      <c r="D11" s="25" t="s">
        <v>110</v>
      </c>
      <c r="E11" s="25" t="s">
        <v>111</v>
      </c>
      <c r="F11" s="25" t="s">
        <v>112</v>
      </c>
      <c r="G11" s="25"/>
      <c r="H11" s="25" t="s">
        <v>8</v>
      </c>
      <c r="I11" s="25"/>
    </row>
  </sheetData>
  <dataValidations count="1">
    <dataValidation type="list" allowBlank="1" showInputMessage="1" showErrorMessage="1" sqref="H9:H11" xr:uid="{68B54206-9910-4E0E-9C70-491D3C748FEA}">
      <formula1>"'Pass,'Fail,'Untest,'N/A"</formula1>
    </dataValidation>
  </dataValidations>
  <hyperlinks>
    <hyperlink ref="B2" location="null!A1" display="Back to TestReport" xr:uid="{1CFACB8D-AC11-41F1-9FDC-9B657CE5618A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"/>
  <sheetViews>
    <sheetView workbookViewId="0">
      <selection activeCell="H3" sqref="H3"/>
    </sheetView>
  </sheetViews>
  <sheetFormatPr defaultRowHeight="15" x14ac:dyDescent="0.25"/>
  <cols>
    <col min="1" max="1" width="18" customWidth="1"/>
    <col min="2" max="2" width="30" customWidth="1"/>
    <col min="3" max="3" width="28" customWidth="1"/>
    <col min="4" max="4" width="52" customWidth="1"/>
    <col min="5" max="5" width="32" customWidth="1"/>
    <col min="6" max="6" width="36" customWidth="1"/>
    <col min="7" max="7" width="10" customWidth="1"/>
    <col min="8" max="8" width="16" customWidth="1"/>
    <col min="9" max="9" width="12" customWidth="1"/>
  </cols>
  <sheetData>
    <row r="1" spans="1:12" ht="15" customHeight="1" thickBot="1" x14ac:dyDescent="0.3">
      <c r="A1" s="2"/>
      <c r="B1" s="3"/>
      <c r="C1" s="3"/>
      <c r="D1" s="3"/>
      <c r="E1" s="3"/>
      <c r="F1" s="3"/>
      <c r="G1" s="2"/>
      <c r="H1" s="2"/>
      <c r="I1" s="3"/>
      <c r="J1" s="3"/>
      <c r="K1" s="3"/>
      <c r="L1" s="3"/>
    </row>
    <row r="2" spans="1:12" x14ac:dyDescent="0.25">
      <c r="A2" s="4"/>
      <c r="B2" s="5" t="s">
        <v>0</v>
      </c>
      <c r="C2" s="5" t="str">
        <f>HYPERLINK("#'Test case List'!A1","Test case List")</f>
        <v>Test case List</v>
      </c>
      <c r="D2" s="4"/>
      <c r="E2" s="4"/>
      <c r="F2" s="4"/>
      <c r="G2" s="6" t="s">
        <v>1</v>
      </c>
      <c r="H2" s="7">
        <f>COUNTIF($A$9:$A$850, "TC*")</f>
        <v>2</v>
      </c>
      <c r="I2" s="4"/>
      <c r="J2" s="4"/>
      <c r="K2" s="4"/>
      <c r="L2" s="4"/>
    </row>
    <row r="3" spans="1:12" x14ac:dyDescent="0.25">
      <c r="A3" s="4"/>
      <c r="B3" s="8" t="s">
        <v>2</v>
      </c>
      <c r="C3" s="9" t="s">
        <v>113</v>
      </c>
      <c r="D3" s="4"/>
      <c r="E3" s="4"/>
      <c r="F3" s="4"/>
      <c r="G3" s="10" t="s">
        <v>4</v>
      </c>
      <c r="H3" s="11">
        <f>(COUNTIF(H9:H34,"Pass"))</f>
        <v>0</v>
      </c>
      <c r="I3" s="4"/>
      <c r="J3" s="4"/>
      <c r="K3" s="4"/>
      <c r="L3" s="4"/>
    </row>
    <row r="4" spans="1:12" ht="15.75" thickBot="1" x14ac:dyDescent="0.3">
      <c r="A4" s="4"/>
      <c r="B4" s="12" t="s">
        <v>5</v>
      </c>
      <c r="C4" s="13" t="s">
        <v>6</v>
      </c>
      <c r="D4" s="4"/>
      <c r="E4" s="4"/>
      <c r="F4" s="4"/>
      <c r="G4" s="10" t="s">
        <v>7</v>
      </c>
      <c r="H4" s="11">
        <f>(COUNTIF(H9:H34,"Fail"))</f>
        <v>0</v>
      </c>
      <c r="I4" s="4"/>
      <c r="J4" s="4"/>
      <c r="K4" s="4"/>
      <c r="L4" s="4"/>
    </row>
    <row r="5" spans="1:12" ht="15.75" thickBot="1" x14ac:dyDescent="0.3">
      <c r="A5" s="4"/>
      <c r="B5" s="14"/>
      <c r="C5" s="14"/>
      <c r="D5" s="4"/>
      <c r="E5" s="4"/>
      <c r="F5" s="4"/>
      <c r="G5" s="10" t="s">
        <v>8</v>
      </c>
      <c r="H5" s="11">
        <f>(COUNTIF(H9:H45,"Untest"))</f>
        <v>2</v>
      </c>
      <c r="I5" s="4"/>
      <c r="J5" s="4"/>
      <c r="K5" s="4"/>
      <c r="L5" s="4"/>
    </row>
    <row r="6" spans="1:12" ht="15.75" thickBot="1" x14ac:dyDescent="0.3">
      <c r="A6" s="14"/>
      <c r="B6" s="15" t="s">
        <v>9</v>
      </c>
      <c r="C6" s="16" t="str">
        <f>ROUND((H3 / (H2-H6))*100,2)&amp;"%"</f>
        <v>0%</v>
      </c>
      <c r="D6" s="4"/>
      <c r="E6" s="4"/>
      <c r="F6" s="4"/>
      <c r="G6" s="17" t="s">
        <v>10</v>
      </c>
      <c r="H6" s="18">
        <f>(COUNTIF(H9:H34,"N/A"))</f>
        <v>0</v>
      </c>
      <c r="I6" s="4"/>
      <c r="J6" s="4"/>
      <c r="K6" s="4"/>
      <c r="L6" s="4"/>
    </row>
    <row r="7" spans="1:12" x14ac:dyDescent="0.25">
      <c r="A7" s="19"/>
      <c r="B7" s="19"/>
      <c r="C7" s="19"/>
      <c r="D7" s="20"/>
      <c r="E7" s="20"/>
      <c r="F7" s="21"/>
      <c r="G7" s="21"/>
      <c r="H7" s="21"/>
      <c r="I7" s="19"/>
      <c r="J7" s="19"/>
      <c r="K7" s="19"/>
      <c r="L7" s="19"/>
    </row>
    <row r="8" spans="1:12" x14ac:dyDescent="0.25">
      <c r="A8" s="27" t="s">
        <v>11</v>
      </c>
      <c r="B8" s="27" t="s">
        <v>12</v>
      </c>
      <c r="C8" s="27" t="s">
        <v>13</v>
      </c>
      <c r="D8" s="27" t="s">
        <v>14</v>
      </c>
      <c r="E8" s="27" t="s">
        <v>15</v>
      </c>
      <c r="F8" s="27" t="s">
        <v>16</v>
      </c>
      <c r="G8" s="27" t="s">
        <v>17</v>
      </c>
      <c r="H8" s="27" t="s">
        <v>18</v>
      </c>
      <c r="I8" s="27" t="s">
        <v>19</v>
      </c>
    </row>
    <row r="9" spans="1:12" ht="168" customHeight="1" x14ac:dyDescent="0.25">
      <c r="A9" s="25" t="s">
        <v>114</v>
      </c>
      <c r="B9" s="25" t="s">
        <v>115</v>
      </c>
      <c r="C9" s="25" t="s">
        <v>116</v>
      </c>
      <c r="D9" s="25" t="s">
        <v>117</v>
      </c>
      <c r="E9" s="25" t="s">
        <v>118</v>
      </c>
      <c r="F9" s="25" t="s">
        <v>119</v>
      </c>
      <c r="G9" s="25"/>
      <c r="H9" s="25" t="s">
        <v>8</v>
      </c>
      <c r="I9" s="25"/>
    </row>
    <row r="10" spans="1:12" ht="90.95" customHeight="1" x14ac:dyDescent="0.25">
      <c r="A10" s="25" t="s">
        <v>120</v>
      </c>
      <c r="B10" s="25" t="s">
        <v>56</v>
      </c>
      <c r="C10" s="25" t="s">
        <v>121</v>
      </c>
      <c r="D10" s="25" t="s">
        <v>122</v>
      </c>
      <c r="E10" s="25" t="s">
        <v>123</v>
      </c>
      <c r="F10" s="25" t="s">
        <v>124</v>
      </c>
      <c r="G10" s="25"/>
      <c r="H10" s="25" t="s">
        <v>8</v>
      </c>
      <c r="I10" s="25"/>
    </row>
  </sheetData>
  <dataValidations count="1">
    <dataValidation type="list" allowBlank="1" showInputMessage="1" showErrorMessage="1" sqref="H9:H10" xr:uid="{A70B5BE3-FCC5-4D45-8C18-4103CE0DD184}">
      <formula1>"'Pass,'Fail,'Untest,'N/A"</formula1>
    </dataValidation>
  </dataValidations>
  <hyperlinks>
    <hyperlink ref="B2" location="null!A1" display="Back to TestReport" xr:uid="{B4D0A55F-3D38-4E22-A213-2A60C784E962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1"/>
  <sheetViews>
    <sheetView workbookViewId="0">
      <selection activeCell="H3" sqref="H3"/>
    </sheetView>
  </sheetViews>
  <sheetFormatPr defaultRowHeight="15" x14ac:dyDescent="0.25"/>
  <cols>
    <col min="1" max="1" width="18" customWidth="1"/>
    <col min="2" max="2" width="30" customWidth="1"/>
    <col min="3" max="3" width="28" customWidth="1"/>
    <col min="4" max="4" width="52" customWidth="1"/>
    <col min="5" max="5" width="32" customWidth="1"/>
    <col min="6" max="6" width="36" customWidth="1"/>
    <col min="7" max="7" width="10" customWidth="1"/>
    <col min="8" max="8" width="16" customWidth="1"/>
    <col min="9" max="9" width="12" customWidth="1"/>
  </cols>
  <sheetData>
    <row r="1" spans="1:11" ht="15" customHeight="1" thickBot="1" x14ac:dyDescent="0.3">
      <c r="A1" s="2"/>
      <c r="B1" s="3"/>
      <c r="C1" s="3"/>
      <c r="D1" s="3"/>
      <c r="E1" s="3"/>
      <c r="F1" s="3"/>
      <c r="G1" s="2"/>
      <c r="H1" s="2"/>
      <c r="I1" s="3"/>
      <c r="J1" s="3"/>
      <c r="K1" s="3"/>
    </row>
    <row r="2" spans="1:11" x14ac:dyDescent="0.25">
      <c r="A2" s="4"/>
      <c r="B2" s="5" t="s">
        <v>0</v>
      </c>
      <c r="C2" s="5" t="str">
        <f>HYPERLINK("#'Test case List'!A1","Test case List")</f>
        <v>Test case List</v>
      </c>
      <c r="D2" s="4"/>
      <c r="E2" s="4"/>
      <c r="F2" s="4"/>
      <c r="G2" s="6" t="s">
        <v>1</v>
      </c>
      <c r="H2" s="7">
        <f>COUNTIF($A$10:$A$847, "TC*")</f>
        <v>2</v>
      </c>
      <c r="I2" s="4"/>
      <c r="J2" s="4"/>
      <c r="K2" s="4"/>
    </row>
    <row r="3" spans="1:11" x14ac:dyDescent="0.25">
      <c r="A3" s="4"/>
      <c r="B3" s="8" t="s">
        <v>2</v>
      </c>
      <c r="C3" s="9" t="s">
        <v>125</v>
      </c>
      <c r="D3" s="4"/>
      <c r="E3" s="4"/>
      <c r="F3" s="4"/>
      <c r="G3" s="10" t="s">
        <v>4</v>
      </c>
      <c r="H3" s="11">
        <f>(COUNTIF(H9:H33,"Pass"))</f>
        <v>0</v>
      </c>
      <c r="I3" s="4"/>
      <c r="J3" s="4"/>
      <c r="K3" s="4"/>
    </row>
    <row r="4" spans="1:11" ht="15.75" thickBot="1" x14ac:dyDescent="0.3">
      <c r="A4" s="4"/>
      <c r="B4" s="12" t="s">
        <v>5</v>
      </c>
      <c r="C4" s="13" t="s">
        <v>6</v>
      </c>
      <c r="D4" s="4"/>
      <c r="E4" s="4"/>
      <c r="F4" s="4"/>
      <c r="G4" s="10" t="s">
        <v>7</v>
      </c>
      <c r="H4" s="11">
        <f>(COUNTIF(H9:H31,"Fail"))</f>
        <v>0</v>
      </c>
      <c r="I4" s="4"/>
      <c r="J4" s="4"/>
      <c r="K4" s="4"/>
    </row>
    <row r="5" spans="1:11" ht="15.75" thickBot="1" x14ac:dyDescent="0.3">
      <c r="A5" s="4"/>
      <c r="B5" s="14"/>
      <c r="C5" s="14"/>
      <c r="D5" s="4"/>
      <c r="E5" s="4"/>
      <c r="F5" s="4"/>
      <c r="G5" s="10" t="s">
        <v>8</v>
      </c>
      <c r="H5" s="11">
        <f>(COUNTIF(H9:H45,"Untest"))</f>
        <v>3</v>
      </c>
      <c r="I5" s="4"/>
      <c r="J5" s="4"/>
      <c r="K5" s="4"/>
    </row>
    <row r="6" spans="1:11" ht="15.75" thickBot="1" x14ac:dyDescent="0.3">
      <c r="A6" s="14"/>
      <c r="B6" s="15" t="s">
        <v>9</v>
      </c>
      <c r="C6" s="16" t="str">
        <f>ROUND((H3 / (H2-H6))*100,2)&amp;"%"</f>
        <v>0%</v>
      </c>
      <c r="D6" s="4"/>
      <c r="E6" s="4"/>
      <c r="F6" s="4"/>
      <c r="G6" s="17" t="s">
        <v>10</v>
      </c>
      <c r="H6" s="18">
        <f>(COUNTIF(H9:H31,"N/A"))</f>
        <v>0</v>
      </c>
      <c r="I6" s="4"/>
      <c r="J6" s="4"/>
      <c r="K6" s="4"/>
    </row>
    <row r="7" spans="1:11" x14ac:dyDescent="0.25">
      <c r="A7" s="19"/>
      <c r="B7" s="19"/>
      <c r="C7" s="19"/>
      <c r="D7" s="20"/>
      <c r="E7" s="20"/>
      <c r="F7" s="21"/>
      <c r="G7" s="21"/>
      <c r="H7" s="21"/>
      <c r="I7" s="19"/>
      <c r="J7" s="19"/>
      <c r="K7" s="19"/>
    </row>
    <row r="8" spans="1:11" x14ac:dyDescent="0.25">
      <c r="A8" s="28" t="s">
        <v>11</v>
      </c>
      <c r="B8" s="28" t="s">
        <v>12</v>
      </c>
      <c r="C8" s="28" t="s">
        <v>13</v>
      </c>
      <c r="D8" s="28" t="s">
        <v>14</v>
      </c>
      <c r="E8" s="28" t="s">
        <v>15</v>
      </c>
      <c r="F8" s="28" t="s">
        <v>16</v>
      </c>
      <c r="G8" s="28" t="s">
        <v>17</v>
      </c>
      <c r="H8" s="28" t="s">
        <v>18</v>
      </c>
      <c r="I8" s="28" t="s">
        <v>19</v>
      </c>
    </row>
    <row r="9" spans="1:11" ht="141" customHeight="1" x14ac:dyDescent="0.25">
      <c r="A9" s="25" t="s">
        <v>126</v>
      </c>
      <c r="B9" s="25" t="s">
        <v>127</v>
      </c>
      <c r="C9" s="25" t="s">
        <v>128</v>
      </c>
      <c r="D9" s="25" t="s">
        <v>129</v>
      </c>
      <c r="E9" s="25" t="s">
        <v>130</v>
      </c>
      <c r="F9" s="25" t="s">
        <v>131</v>
      </c>
      <c r="G9" s="25"/>
      <c r="H9" s="25" t="s">
        <v>8</v>
      </c>
      <c r="I9" s="25"/>
    </row>
    <row r="10" spans="1:11" ht="102.95" customHeight="1" x14ac:dyDescent="0.25">
      <c r="A10" s="25" t="s">
        <v>132</v>
      </c>
      <c r="B10" s="25" t="s">
        <v>133</v>
      </c>
      <c r="C10" s="25" t="s">
        <v>134</v>
      </c>
      <c r="D10" s="25" t="s">
        <v>135</v>
      </c>
      <c r="E10" s="25" t="s">
        <v>136</v>
      </c>
      <c r="F10" s="25" t="s">
        <v>137</v>
      </c>
      <c r="G10" s="25"/>
      <c r="H10" s="25" t="s">
        <v>8</v>
      </c>
      <c r="I10" s="25"/>
    </row>
    <row r="11" spans="1:11" ht="120" customHeight="1" x14ac:dyDescent="0.25">
      <c r="A11" s="25" t="s">
        <v>138</v>
      </c>
      <c r="B11" s="25" t="s">
        <v>56</v>
      </c>
      <c r="C11" s="25" t="s">
        <v>139</v>
      </c>
      <c r="D11" s="25" t="s">
        <v>140</v>
      </c>
      <c r="E11" s="25" t="s">
        <v>141</v>
      </c>
      <c r="F11" s="25" t="s">
        <v>142</v>
      </c>
      <c r="G11" s="25"/>
      <c r="H11" s="25" t="s">
        <v>8</v>
      </c>
      <c r="I11" s="25"/>
    </row>
  </sheetData>
  <dataValidations count="1">
    <dataValidation type="list" allowBlank="1" showInputMessage="1" showErrorMessage="1" sqref="H9:H11" xr:uid="{25B88C88-4F34-453F-818A-D1070E0A600F}">
      <formula1>"'Pass,'Fail,'Untest,'N/A"</formula1>
    </dataValidation>
  </dataValidations>
  <hyperlinks>
    <hyperlink ref="B2" location="null!A1" display="Back to TestReport" xr:uid="{D3EAB253-ECB5-410D-9691-211C16C99B98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1"/>
  <sheetViews>
    <sheetView workbookViewId="0">
      <selection activeCell="H3" sqref="H3"/>
    </sheetView>
  </sheetViews>
  <sheetFormatPr defaultRowHeight="15" x14ac:dyDescent="0.25"/>
  <cols>
    <col min="1" max="1" width="18" customWidth="1"/>
    <col min="2" max="2" width="30" customWidth="1"/>
    <col min="3" max="3" width="28" customWidth="1"/>
    <col min="4" max="4" width="52" customWidth="1"/>
    <col min="5" max="5" width="32" customWidth="1"/>
    <col min="6" max="6" width="36" customWidth="1"/>
    <col min="7" max="7" width="10" customWidth="1"/>
    <col min="8" max="8" width="16" customWidth="1"/>
    <col min="9" max="9" width="12" customWidth="1"/>
  </cols>
  <sheetData>
    <row r="1" spans="1:11" ht="15" customHeight="1" thickBot="1" x14ac:dyDescent="0.3">
      <c r="A1" s="2"/>
      <c r="B1" s="3"/>
      <c r="C1" s="3"/>
      <c r="D1" s="3"/>
      <c r="E1" s="3"/>
      <c r="F1" s="3"/>
      <c r="G1" s="2"/>
      <c r="H1" s="2"/>
      <c r="I1" s="3"/>
      <c r="J1" s="3"/>
      <c r="K1" s="3"/>
    </row>
    <row r="2" spans="1:11" x14ac:dyDescent="0.25">
      <c r="A2" s="4"/>
      <c r="B2" s="5" t="s">
        <v>0</v>
      </c>
      <c r="C2" s="5" t="str">
        <f>HYPERLINK("#'Test case List'!A1","Test case List")</f>
        <v>Test case List</v>
      </c>
      <c r="D2" s="4"/>
      <c r="E2" s="4"/>
      <c r="F2" s="4"/>
      <c r="G2" s="6" t="s">
        <v>1</v>
      </c>
      <c r="H2" s="7">
        <f>COUNTIF($A$9:$A$847, "TC*")</f>
        <v>3</v>
      </c>
      <c r="I2" s="4"/>
      <c r="J2" s="4"/>
      <c r="K2" s="4"/>
    </row>
    <row r="3" spans="1:11" x14ac:dyDescent="0.25">
      <c r="A3" s="4"/>
      <c r="B3" s="8" t="s">
        <v>2</v>
      </c>
      <c r="C3" s="9" t="s">
        <v>143</v>
      </c>
      <c r="D3" s="4"/>
      <c r="E3" s="4"/>
      <c r="F3" s="4"/>
      <c r="G3" s="10" t="s">
        <v>4</v>
      </c>
      <c r="H3" s="11">
        <f>(COUNTIF(H9:H33,"Pass"))</f>
        <v>0</v>
      </c>
      <c r="I3" s="4"/>
      <c r="J3" s="4"/>
      <c r="K3" s="4"/>
    </row>
    <row r="4" spans="1:11" ht="15.75" thickBot="1" x14ac:dyDescent="0.3">
      <c r="A4" s="4"/>
      <c r="B4" s="12" t="s">
        <v>5</v>
      </c>
      <c r="C4" s="13" t="s">
        <v>6</v>
      </c>
      <c r="D4" s="4"/>
      <c r="E4" s="4"/>
      <c r="F4" s="4"/>
      <c r="G4" s="10" t="s">
        <v>7</v>
      </c>
      <c r="H4" s="11">
        <f>(COUNTIF(H9:H31,"Fail"))</f>
        <v>0</v>
      </c>
      <c r="I4" s="4"/>
      <c r="J4" s="4"/>
      <c r="K4" s="4"/>
    </row>
    <row r="5" spans="1:11" ht="15.75" thickBot="1" x14ac:dyDescent="0.3">
      <c r="A5" s="4"/>
      <c r="B5" s="14"/>
      <c r="C5" s="14"/>
      <c r="D5" s="4"/>
      <c r="E5" s="4"/>
      <c r="F5" s="4"/>
      <c r="G5" s="10" t="s">
        <v>8</v>
      </c>
      <c r="H5" s="11">
        <f>(COUNTIF(H9:H45,"Untest"))</f>
        <v>3</v>
      </c>
      <c r="I5" s="4"/>
      <c r="J5" s="4"/>
      <c r="K5" s="4"/>
    </row>
    <row r="6" spans="1:11" ht="15.75" thickBot="1" x14ac:dyDescent="0.3">
      <c r="A6" s="14"/>
      <c r="B6" s="15" t="s">
        <v>9</v>
      </c>
      <c r="C6" s="16" t="str">
        <f>ROUND((H3 / (H2-H6))*100,2)&amp;"%"</f>
        <v>0%</v>
      </c>
      <c r="D6" s="4"/>
      <c r="E6" s="4"/>
      <c r="F6" s="4"/>
      <c r="G6" s="17" t="s">
        <v>10</v>
      </c>
      <c r="H6" s="18">
        <f>(COUNTIF(H9:H31,"N/A"))</f>
        <v>0</v>
      </c>
      <c r="I6" s="4"/>
      <c r="J6" s="4"/>
      <c r="K6" s="4"/>
    </row>
    <row r="7" spans="1:11" x14ac:dyDescent="0.25">
      <c r="A7" s="19"/>
      <c r="B7" s="19"/>
      <c r="C7" s="19"/>
      <c r="D7" s="20"/>
      <c r="E7" s="20"/>
      <c r="F7" s="21"/>
      <c r="G7" s="21"/>
      <c r="H7" s="21"/>
      <c r="I7" s="19"/>
      <c r="J7" s="19"/>
      <c r="K7" s="19"/>
    </row>
    <row r="8" spans="1:11" x14ac:dyDescent="0.25">
      <c r="A8" s="29" t="s">
        <v>11</v>
      </c>
      <c r="B8" s="29" t="s">
        <v>12</v>
      </c>
      <c r="C8" s="29" t="s">
        <v>13</v>
      </c>
      <c r="D8" s="29" t="s">
        <v>14</v>
      </c>
      <c r="E8" s="29" t="s">
        <v>15</v>
      </c>
      <c r="F8" s="29" t="s">
        <v>16</v>
      </c>
      <c r="G8" s="29" t="s">
        <v>17</v>
      </c>
      <c r="H8" s="29" t="s">
        <v>18</v>
      </c>
      <c r="I8" s="29" t="s">
        <v>19</v>
      </c>
    </row>
    <row r="9" spans="1:11" ht="122.1" customHeight="1" x14ac:dyDescent="0.25">
      <c r="A9" s="25" t="s">
        <v>144</v>
      </c>
      <c r="B9" s="25" t="s">
        <v>145</v>
      </c>
      <c r="C9" s="25" t="s">
        <v>146</v>
      </c>
      <c r="D9" s="25" t="s">
        <v>147</v>
      </c>
      <c r="E9" s="25" t="s">
        <v>148</v>
      </c>
      <c r="F9" s="25" t="s">
        <v>149</v>
      </c>
      <c r="G9" s="25"/>
      <c r="H9" s="25" t="s">
        <v>8</v>
      </c>
      <c r="I9" s="25"/>
    </row>
    <row r="10" spans="1:11" ht="177.95" customHeight="1" x14ac:dyDescent="0.25">
      <c r="A10" s="25" t="s">
        <v>150</v>
      </c>
      <c r="B10" s="25" t="s">
        <v>151</v>
      </c>
      <c r="C10" s="25" t="s">
        <v>152</v>
      </c>
      <c r="D10" s="25" t="s">
        <v>153</v>
      </c>
      <c r="E10" s="25" t="s">
        <v>154</v>
      </c>
      <c r="F10" s="25" t="s">
        <v>89</v>
      </c>
      <c r="G10" s="25"/>
      <c r="H10" s="25" t="s">
        <v>8</v>
      </c>
      <c r="I10" s="25"/>
    </row>
    <row r="11" spans="1:11" ht="114.95" customHeight="1" x14ac:dyDescent="0.25">
      <c r="A11" s="25" t="s">
        <v>155</v>
      </c>
      <c r="B11" s="25" t="s">
        <v>56</v>
      </c>
      <c r="C11" s="25" t="s">
        <v>156</v>
      </c>
      <c r="D11" s="25" t="s">
        <v>157</v>
      </c>
      <c r="E11" s="25" t="s">
        <v>158</v>
      </c>
      <c r="F11" s="25" t="s">
        <v>159</v>
      </c>
      <c r="G11" s="25"/>
      <c r="H11" s="25" t="s">
        <v>8</v>
      </c>
      <c r="I11" s="25"/>
    </row>
  </sheetData>
  <dataValidations count="1">
    <dataValidation type="list" allowBlank="1" showInputMessage="1" showErrorMessage="1" sqref="H9:H11" xr:uid="{420EAC09-1C59-4413-A966-48C4C487A6AD}">
      <formula1>"'Pass,'Fail,'Untest,'N/A"</formula1>
    </dataValidation>
  </dataValidations>
  <hyperlinks>
    <hyperlink ref="B2" location="null!A1" display="Back to TestReport" xr:uid="{C165AF2A-8021-4F60-B6C6-282937F1773A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1"/>
  <sheetViews>
    <sheetView workbookViewId="0">
      <selection activeCell="H3" sqref="H3"/>
    </sheetView>
  </sheetViews>
  <sheetFormatPr defaultRowHeight="15" x14ac:dyDescent="0.25"/>
  <cols>
    <col min="1" max="1" width="18" customWidth="1"/>
    <col min="2" max="2" width="30" customWidth="1"/>
    <col min="3" max="3" width="28" customWidth="1"/>
    <col min="4" max="4" width="52" customWidth="1"/>
    <col min="5" max="5" width="32" customWidth="1"/>
    <col min="6" max="6" width="36" customWidth="1"/>
    <col min="7" max="7" width="10" customWidth="1"/>
    <col min="8" max="8" width="16" customWidth="1"/>
    <col min="9" max="9" width="12" customWidth="1"/>
  </cols>
  <sheetData>
    <row r="1" spans="1:11" ht="15" customHeight="1" thickBot="1" x14ac:dyDescent="0.3">
      <c r="A1" s="2"/>
      <c r="B1" s="3"/>
      <c r="C1" s="3"/>
      <c r="D1" s="3"/>
      <c r="E1" s="3"/>
      <c r="F1" s="3"/>
      <c r="G1" s="2"/>
      <c r="H1" s="2"/>
      <c r="I1" s="3"/>
      <c r="J1" s="3"/>
      <c r="K1" s="3"/>
    </row>
    <row r="2" spans="1:11" x14ac:dyDescent="0.25">
      <c r="A2" s="4"/>
      <c r="B2" s="5" t="s">
        <v>0</v>
      </c>
      <c r="C2" s="5" t="str">
        <f>HYPERLINK("#'Test case List'!A1","Test case List")</f>
        <v>Test case List</v>
      </c>
      <c r="D2" s="4"/>
      <c r="E2" s="4"/>
      <c r="F2" s="4"/>
      <c r="G2" s="6" t="s">
        <v>1</v>
      </c>
      <c r="H2" s="7">
        <f>COUNTIF($A$9:$A$860, "TC*")</f>
        <v>3</v>
      </c>
      <c r="I2" s="4"/>
      <c r="J2" s="4"/>
      <c r="K2" s="4"/>
    </row>
    <row r="3" spans="1:11" x14ac:dyDescent="0.25">
      <c r="A3" s="4"/>
      <c r="B3" s="8" t="s">
        <v>2</v>
      </c>
      <c r="C3" s="9" t="s">
        <v>221</v>
      </c>
      <c r="D3" s="4"/>
      <c r="E3" s="4"/>
      <c r="F3" s="4"/>
      <c r="G3" s="10" t="s">
        <v>4</v>
      </c>
      <c r="H3" s="11">
        <f>(COUNTIF(H9:H44,"Pass"))</f>
        <v>0</v>
      </c>
      <c r="I3" s="4"/>
      <c r="J3" s="4"/>
      <c r="K3" s="4"/>
    </row>
    <row r="4" spans="1:11" ht="15.75" thickBot="1" x14ac:dyDescent="0.3">
      <c r="A4" s="4"/>
      <c r="B4" s="12" t="s">
        <v>5</v>
      </c>
      <c r="C4" s="13" t="s">
        <v>6</v>
      </c>
      <c r="D4" s="4"/>
      <c r="E4" s="4"/>
      <c r="F4" s="4"/>
      <c r="G4" s="10" t="s">
        <v>7</v>
      </c>
      <c r="H4" s="11">
        <f>(COUNTIF(H9:H44,"Fail"))</f>
        <v>0</v>
      </c>
      <c r="I4" s="4"/>
      <c r="J4" s="4"/>
      <c r="K4" s="4"/>
    </row>
    <row r="5" spans="1:11" ht="15.75" thickBot="1" x14ac:dyDescent="0.3">
      <c r="A5" s="4"/>
      <c r="B5" s="14"/>
      <c r="C5" s="14"/>
      <c r="D5" s="4"/>
      <c r="E5" s="4"/>
      <c r="F5" s="4"/>
      <c r="G5" s="10" t="s">
        <v>8</v>
      </c>
      <c r="H5" s="11">
        <f>(COUNTIF(H9:H44,"Untest"))</f>
        <v>3</v>
      </c>
      <c r="I5" s="4"/>
      <c r="J5" s="4"/>
      <c r="K5" s="4"/>
    </row>
    <row r="6" spans="1:11" ht="15.75" thickBot="1" x14ac:dyDescent="0.3">
      <c r="A6" s="14"/>
      <c r="B6" s="15" t="s">
        <v>9</v>
      </c>
      <c r="C6" s="16" t="str">
        <f>ROUND((H3 / (H2-H6))*100,2)&amp;"%"</f>
        <v>0%</v>
      </c>
      <c r="D6" s="4"/>
      <c r="E6" s="4"/>
      <c r="F6" s="4"/>
      <c r="G6" s="17" t="s">
        <v>10</v>
      </c>
      <c r="H6" s="18">
        <f>(COUNTIF(H9:H44,"N/A"))</f>
        <v>0</v>
      </c>
      <c r="I6" s="4"/>
      <c r="J6" s="4"/>
      <c r="K6" s="4"/>
    </row>
    <row r="7" spans="1:11" x14ac:dyDescent="0.25">
      <c r="A7" s="19"/>
      <c r="B7" s="19"/>
      <c r="C7" s="19"/>
      <c r="D7" s="20"/>
      <c r="E7" s="20"/>
      <c r="F7" s="21"/>
      <c r="G7" s="21"/>
      <c r="H7" s="21"/>
      <c r="I7" s="19"/>
      <c r="J7" s="19"/>
      <c r="K7" s="19"/>
    </row>
    <row r="8" spans="1:11" x14ac:dyDescent="0.25">
      <c r="A8" s="23" t="s">
        <v>11</v>
      </c>
      <c r="B8" s="23" t="s">
        <v>12</v>
      </c>
      <c r="C8" s="23" t="s">
        <v>13</v>
      </c>
      <c r="D8" s="23" t="s">
        <v>14</v>
      </c>
      <c r="E8" s="23" t="s">
        <v>15</v>
      </c>
      <c r="F8" s="23" t="s">
        <v>16</v>
      </c>
      <c r="G8" s="23" t="s">
        <v>17</v>
      </c>
      <c r="H8" s="23" t="s">
        <v>18</v>
      </c>
      <c r="I8" s="23" t="s">
        <v>19</v>
      </c>
    </row>
    <row r="9" spans="1:11" ht="141" customHeight="1" x14ac:dyDescent="0.25">
      <c r="A9" s="22" t="s">
        <v>161</v>
      </c>
      <c r="B9" s="22" t="s">
        <v>162</v>
      </c>
      <c r="C9" s="22" t="s">
        <v>163</v>
      </c>
      <c r="D9" s="22" t="s">
        <v>164</v>
      </c>
      <c r="E9" s="22" t="s">
        <v>165</v>
      </c>
      <c r="F9" s="22" t="s">
        <v>166</v>
      </c>
      <c r="G9" s="22"/>
      <c r="H9" s="22" t="s">
        <v>8</v>
      </c>
      <c r="I9" s="22"/>
    </row>
    <row r="10" spans="1:11" ht="122.1" customHeight="1" x14ac:dyDescent="0.25">
      <c r="A10" s="22" t="s">
        <v>167</v>
      </c>
      <c r="B10" s="22" t="s">
        <v>168</v>
      </c>
      <c r="C10" s="22" t="s">
        <v>169</v>
      </c>
      <c r="D10" s="22" t="s">
        <v>170</v>
      </c>
      <c r="E10" s="22" t="s">
        <v>171</v>
      </c>
      <c r="F10" s="22" t="s">
        <v>172</v>
      </c>
      <c r="G10" s="22"/>
      <c r="H10" s="22" t="s">
        <v>8</v>
      </c>
      <c r="I10" s="22"/>
    </row>
    <row r="11" spans="1:11" ht="126.95" customHeight="1" x14ac:dyDescent="0.25">
      <c r="A11" s="22" t="s">
        <v>173</v>
      </c>
      <c r="B11" s="22" t="s">
        <v>174</v>
      </c>
      <c r="C11" s="22" t="s">
        <v>175</v>
      </c>
      <c r="D11" s="22" t="s">
        <v>176</v>
      </c>
      <c r="E11" s="22" t="s">
        <v>177</v>
      </c>
      <c r="F11" s="22" t="s">
        <v>178</v>
      </c>
      <c r="G11" s="22"/>
      <c r="H11" s="22" t="s">
        <v>8</v>
      </c>
      <c r="I11" s="22"/>
    </row>
  </sheetData>
  <dataValidations count="1">
    <dataValidation type="list" allowBlank="1" showInputMessage="1" showErrorMessage="1" sqref="H9:H11" xr:uid="{275D8193-1913-49A3-9B8A-95A9F271C543}">
      <formula1>"'Pass,'Fail,'Untest,'N/A"</formula1>
    </dataValidation>
  </dataValidations>
  <hyperlinks>
    <hyperlink ref="B2" location="null!A1" display="Back to TestReport" xr:uid="{9F6E08BF-20B9-4642-A5AF-274BA2F5D4A9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0"/>
  <sheetViews>
    <sheetView workbookViewId="0">
      <selection activeCell="H3" sqref="H3"/>
    </sheetView>
  </sheetViews>
  <sheetFormatPr defaultRowHeight="15" x14ac:dyDescent="0.25"/>
  <cols>
    <col min="1" max="1" width="18" customWidth="1"/>
    <col min="2" max="2" width="30" customWidth="1"/>
    <col min="3" max="3" width="28" customWidth="1"/>
    <col min="4" max="4" width="52" customWidth="1"/>
    <col min="5" max="5" width="32" customWidth="1"/>
    <col min="6" max="6" width="36" customWidth="1"/>
    <col min="7" max="7" width="10" customWidth="1"/>
    <col min="8" max="8" width="16" customWidth="1"/>
    <col min="9" max="9" width="12" customWidth="1"/>
  </cols>
  <sheetData>
    <row r="1" spans="1:12" ht="15" customHeight="1" thickBot="1" x14ac:dyDescent="0.3">
      <c r="A1" s="2"/>
      <c r="B1" s="3"/>
      <c r="C1" s="3"/>
      <c r="D1" s="3"/>
      <c r="E1" s="3"/>
      <c r="F1" s="3"/>
      <c r="G1" s="2"/>
      <c r="H1" s="2"/>
      <c r="I1" s="3"/>
      <c r="J1" s="3"/>
      <c r="K1" s="3"/>
      <c r="L1" s="3"/>
    </row>
    <row r="2" spans="1:12" x14ac:dyDescent="0.25">
      <c r="A2" s="4"/>
      <c r="B2" s="5" t="s">
        <v>0</v>
      </c>
      <c r="C2" s="5" t="str">
        <f>HYPERLINK("#'Test case List'!A1","Test case List")</f>
        <v>Test case List</v>
      </c>
      <c r="D2" s="4"/>
      <c r="E2" s="4"/>
      <c r="F2" s="4"/>
      <c r="G2" s="6" t="s">
        <v>1</v>
      </c>
      <c r="H2" s="7">
        <f>COUNTIF($A$9:$A$816, "TC*")</f>
        <v>2</v>
      </c>
      <c r="I2" s="4"/>
      <c r="J2" s="4"/>
      <c r="K2" s="4"/>
      <c r="L2" s="4"/>
    </row>
    <row r="3" spans="1:12" x14ac:dyDescent="0.25">
      <c r="A3" s="4"/>
      <c r="B3" s="8" t="s">
        <v>2</v>
      </c>
      <c r="C3" s="9" t="s">
        <v>225</v>
      </c>
      <c r="D3" s="4"/>
      <c r="E3" s="4"/>
      <c r="F3" s="4"/>
      <c r="G3" s="10" t="s">
        <v>4</v>
      </c>
      <c r="H3" s="11">
        <f>(COUNTIF(H9:H20,"Pass"))</f>
        <v>0</v>
      </c>
      <c r="I3" s="4"/>
      <c r="J3" s="4"/>
      <c r="K3" s="4"/>
      <c r="L3" s="4"/>
    </row>
    <row r="4" spans="1:12" ht="15.75" thickBot="1" x14ac:dyDescent="0.3">
      <c r="A4" s="4"/>
      <c r="B4" s="12" t="s">
        <v>5</v>
      </c>
      <c r="C4" s="13" t="s">
        <v>6</v>
      </c>
      <c r="D4" s="4"/>
      <c r="E4" s="4"/>
      <c r="F4" s="4"/>
      <c r="G4" s="10" t="s">
        <v>7</v>
      </c>
      <c r="H4" s="11">
        <f>(COUNTIF(H9:H20,"Fail"))</f>
        <v>0</v>
      </c>
      <c r="I4" s="4"/>
      <c r="J4" s="4"/>
      <c r="K4" s="4"/>
      <c r="L4" s="4"/>
    </row>
    <row r="5" spans="1:12" ht="15.75" thickBot="1" x14ac:dyDescent="0.3">
      <c r="A5" s="4"/>
      <c r="B5" s="14"/>
      <c r="C5" s="14"/>
      <c r="D5" s="4"/>
      <c r="E5" s="4"/>
      <c r="F5" s="4"/>
      <c r="G5" s="10" t="s">
        <v>8</v>
      </c>
      <c r="H5" s="11">
        <f>(COUNTIF(H9:H20,"Untest"))</f>
        <v>2</v>
      </c>
      <c r="I5" s="4"/>
      <c r="J5" s="4"/>
      <c r="K5" s="4"/>
      <c r="L5" s="4"/>
    </row>
    <row r="6" spans="1:12" ht="15.75" thickBot="1" x14ac:dyDescent="0.3">
      <c r="A6" s="14"/>
      <c r="B6" s="15" t="s">
        <v>9</v>
      </c>
      <c r="C6" s="16" t="str">
        <f>ROUND((H3 / (H2-H6))*100,2)&amp;"%"</f>
        <v>0%</v>
      </c>
      <c r="D6" s="4"/>
      <c r="E6" s="4"/>
      <c r="F6" s="4"/>
      <c r="G6" s="17" t="s">
        <v>10</v>
      </c>
      <c r="H6" s="18">
        <f>(COUNTIF(H9:H20,"N/A"))</f>
        <v>0</v>
      </c>
      <c r="I6" s="4"/>
      <c r="J6" s="4"/>
      <c r="K6" s="4"/>
      <c r="L6" s="4"/>
    </row>
    <row r="7" spans="1:12" x14ac:dyDescent="0.25">
      <c r="A7" s="19"/>
      <c r="B7" s="19"/>
      <c r="C7" s="19"/>
      <c r="D7" s="20"/>
      <c r="E7" s="20"/>
      <c r="F7" s="21"/>
      <c r="G7" s="21"/>
      <c r="H7" s="21"/>
      <c r="I7" s="19"/>
      <c r="J7" s="19"/>
      <c r="K7" s="19"/>
      <c r="L7" s="19"/>
    </row>
    <row r="8" spans="1:12" x14ac:dyDescent="0.25">
      <c r="A8" s="23" t="s">
        <v>11</v>
      </c>
      <c r="B8" s="23" t="s">
        <v>12</v>
      </c>
      <c r="C8" s="23" t="s">
        <v>13</v>
      </c>
      <c r="D8" s="23" t="s">
        <v>14</v>
      </c>
      <c r="E8" s="23" t="s">
        <v>15</v>
      </c>
      <c r="F8" s="23" t="s">
        <v>16</v>
      </c>
      <c r="G8" s="23" t="s">
        <v>17</v>
      </c>
      <c r="H8" s="23" t="s">
        <v>18</v>
      </c>
      <c r="I8" s="23" t="s">
        <v>19</v>
      </c>
    </row>
    <row r="9" spans="1:12" ht="141.94999999999999" customHeight="1" x14ac:dyDescent="0.25">
      <c r="A9" s="22" t="s">
        <v>180</v>
      </c>
      <c r="B9" s="22" t="s">
        <v>181</v>
      </c>
      <c r="C9" s="22" t="s">
        <v>182</v>
      </c>
      <c r="D9" s="22" t="s">
        <v>183</v>
      </c>
      <c r="E9" s="22" t="s">
        <v>184</v>
      </c>
      <c r="F9" s="22" t="s">
        <v>185</v>
      </c>
      <c r="G9" s="22"/>
      <c r="H9" s="22" t="s">
        <v>8</v>
      </c>
      <c r="I9" s="22"/>
    </row>
    <row r="10" spans="1:12" ht="105" customHeight="1" x14ac:dyDescent="0.25">
      <c r="A10" s="22" t="s">
        <v>186</v>
      </c>
      <c r="B10" s="22" t="s">
        <v>56</v>
      </c>
      <c r="C10" s="22" t="s">
        <v>187</v>
      </c>
      <c r="D10" s="22" t="s">
        <v>188</v>
      </c>
      <c r="E10" s="22" t="s">
        <v>189</v>
      </c>
      <c r="F10" s="22" t="s">
        <v>190</v>
      </c>
      <c r="G10" s="22"/>
      <c r="H10" s="22" t="s">
        <v>8</v>
      </c>
      <c r="I10" s="22"/>
    </row>
  </sheetData>
  <dataValidations count="2">
    <dataValidation type="list" allowBlank="1" showInputMessage="1" showErrorMessage="1" prompt=" - " sqref="F7" xr:uid="{3AA8D805-BB9E-44BE-BDE3-EEE0A5D54053}">
      <formula1>#REF!</formula1>
    </dataValidation>
    <dataValidation type="list" allowBlank="1" showInputMessage="1" showErrorMessage="1" sqref="H9:H10" xr:uid="{1F5C37D0-CC71-412B-82FA-A526D35D0B26}">
      <formula1>"'Pass,'Fail,'Untest,'N/A"</formula1>
    </dataValidation>
  </dataValidations>
  <hyperlinks>
    <hyperlink ref="B2" location="null!A1" display="Back to TestReport" xr:uid="{F52F994F-2034-4615-92E7-B443F7DEA6A9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topLeftCell="A11" zoomScale="85" zoomScaleNormal="85" workbookViewId="0">
      <selection activeCell="H3" sqref="H3"/>
    </sheetView>
  </sheetViews>
  <sheetFormatPr defaultRowHeight="15" x14ac:dyDescent="0.25"/>
  <cols>
    <col min="1" max="1" width="18" customWidth="1"/>
    <col min="2" max="2" width="30" customWidth="1"/>
    <col min="3" max="3" width="28" customWidth="1"/>
    <col min="4" max="4" width="52" customWidth="1"/>
    <col min="5" max="5" width="32" customWidth="1"/>
    <col min="6" max="6" width="36" customWidth="1"/>
    <col min="7" max="7" width="10" customWidth="1"/>
    <col min="8" max="8" width="16" customWidth="1"/>
    <col min="9" max="9" width="12" customWidth="1"/>
  </cols>
  <sheetData>
    <row r="1" spans="1:13" ht="15" customHeight="1" thickBot="1" x14ac:dyDescent="0.3">
      <c r="A1" s="2"/>
      <c r="B1" s="3"/>
      <c r="C1" s="3"/>
      <c r="D1" s="3"/>
      <c r="E1" s="3"/>
      <c r="F1" s="3"/>
      <c r="G1" s="2"/>
      <c r="H1" s="2"/>
      <c r="I1" s="3"/>
      <c r="J1" s="3"/>
      <c r="K1" s="3"/>
      <c r="L1" s="3"/>
      <c r="M1" s="3"/>
    </row>
    <row r="2" spans="1:13" x14ac:dyDescent="0.25">
      <c r="A2" s="4"/>
      <c r="B2" s="5" t="s">
        <v>0</v>
      </c>
      <c r="C2" s="5" t="str">
        <f>HYPERLINK("#'Test case List'!A1","Test case List")</f>
        <v>Test case List</v>
      </c>
      <c r="D2" s="4"/>
      <c r="E2" s="4"/>
      <c r="F2" s="4"/>
      <c r="G2" s="6" t="s">
        <v>1</v>
      </c>
      <c r="H2" s="7">
        <f>COUNTIF($A$9:$A$860, "TC*")</f>
        <v>4</v>
      </c>
      <c r="I2" s="4"/>
      <c r="J2" s="4"/>
      <c r="K2" s="4"/>
      <c r="L2" s="4"/>
      <c r="M2" s="4"/>
    </row>
    <row r="3" spans="1:13" x14ac:dyDescent="0.25">
      <c r="A3" s="4"/>
      <c r="B3" s="8" t="s">
        <v>2</v>
      </c>
      <c r="C3" s="9" t="s">
        <v>3</v>
      </c>
      <c r="D3" s="4"/>
      <c r="E3" s="4"/>
      <c r="F3" s="4"/>
      <c r="G3" s="10" t="s">
        <v>4</v>
      </c>
      <c r="H3" s="11">
        <f>(COUNTIF(H9:H44,"Pass"))</f>
        <v>4</v>
      </c>
      <c r="I3" s="4"/>
      <c r="J3" s="4"/>
      <c r="K3" s="4"/>
      <c r="L3" s="4"/>
      <c r="M3" s="4"/>
    </row>
    <row r="4" spans="1:13" ht="15.75" thickBot="1" x14ac:dyDescent="0.3">
      <c r="A4" s="4"/>
      <c r="B4" s="12" t="s">
        <v>5</v>
      </c>
      <c r="C4" s="13" t="s">
        <v>6</v>
      </c>
      <c r="D4" s="4"/>
      <c r="E4" s="4"/>
      <c r="F4" s="4"/>
      <c r="G4" s="10" t="s">
        <v>7</v>
      </c>
      <c r="H4" s="11">
        <f>(COUNTIF(H9:H44,"Fail"))</f>
        <v>0</v>
      </c>
      <c r="I4" s="4"/>
      <c r="J4" s="4"/>
      <c r="K4" s="4"/>
      <c r="L4" s="4"/>
      <c r="M4" s="4"/>
    </row>
    <row r="5" spans="1:13" ht="15.75" thickBot="1" x14ac:dyDescent="0.3">
      <c r="A5" s="4"/>
      <c r="B5" s="14"/>
      <c r="C5" s="14"/>
      <c r="D5" s="4"/>
      <c r="E5" s="4"/>
      <c r="F5" s="4"/>
      <c r="G5" s="10" t="s">
        <v>8</v>
      </c>
      <c r="H5" s="11">
        <f>(COUNTIF(H9:H44,"Untest"))</f>
        <v>0</v>
      </c>
      <c r="I5" s="4"/>
      <c r="J5" s="4"/>
      <c r="K5" s="4"/>
      <c r="L5" s="4"/>
      <c r="M5" s="4"/>
    </row>
    <row r="6" spans="1:13" ht="15.75" thickBot="1" x14ac:dyDescent="0.3">
      <c r="A6" s="14"/>
      <c r="B6" s="15" t="s">
        <v>9</v>
      </c>
      <c r="C6" s="16" t="str">
        <f>ROUND((H3 / (H2-H6))*100,2)&amp;"%"</f>
        <v>100%</v>
      </c>
      <c r="D6" s="4"/>
      <c r="E6" s="4"/>
      <c r="F6" s="4"/>
      <c r="G6" s="17" t="s">
        <v>10</v>
      </c>
      <c r="H6" s="18">
        <f>(COUNTIF(H9:H44,"N/A"))</f>
        <v>0</v>
      </c>
      <c r="I6" s="4"/>
      <c r="J6" s="4"/>
      <c r="K6" s="4"/>
      <c r="L6" s="4"/>
      <c r="M6" s="4"/>
    </row>
    <row r="7" spans="1:13" x14ac:dyDescent="0.25">
      <c r="A7" s="19"/>
      <c r="B7" s="19"/>
      <c r="C7" s="19"/>
      <c r="D7" s="20"/>
      <c r="E7" s="20"/>
      <c r="F7" s="21"/>
      <c r="G7" s="21"/>
      <c r="H7" s="21"/>
      <c r="I7" s="19"/>
      <c r="J7" s="19"/>
      <c r="K7" s="19"/>
      <c r="L7" s="19"/>
      <c r="M7" s="19"/>
    </row>
    <row r="8" spans="1:13" x14ac:dyDescent="0.25">
      <c r="A8" s="23" t="s">
        <v>11</v>
      </c>
      <c r="B8" s="23" t="s">
        <v>12</v>
      </c>
      <c r="C8" s="23" t="s">
        <v>13</v>
      </c>
      <c r="D8" s="23" t="s">
        <v>14</v>
      </c>
      <c r="E8" s="23" t="s">
        <v>15</v>
      </c>
      <c r="F8" s="23" t="s">
        <v>16</v>
      </c>
      <c r="G8" s="23" t="s">
        <v>17</v>
      </c>
      <c r="H8" s="23" t="s">
        <v>18</v>
      </c>
      <c r="I8" s="23" t="s">
        <v>19</v>
      </c>
      <c r="J8" s="3"/>
      <c r="K8" s="3"/>
      <c r="L8" s="3"/>
      <c r="M8" s="3"/>
    </row>
    <row r="9" spans="1:13" ht="285" x14ac:dyDescent="0.25">
      <c r="A9" s="24" t="s">
        <v>20</v>
      </c>
      <c r="B9" s="24" t="s">
        <v>21</v>
      </c>
      <c r="C9" s="24" t="s">
        <v>22</v>
      </c>
      <c r="D9" s="24" t="s">
        <v>23</v>
      </c>
      <c r="E9" s="24" t="s">
        <v>24</v>
      </c>
      <c r="F9" s="24" t="s">
        <v>25</v>
      </c>
      <c r="G9" s="24"/>
      <c r="H9" s="22" t="s">
        <v>4</v>
      </c>
      <c r="I9" s="1"/>
      <c r="J9" s="3"/>
      <c r="K9" s="3"/>
      <c r="L9" s="3"/>
      <c r="M9" s="3"/>
    </row>
    <row r="10" spans="1:13" ht="128.25" x14ac:dyDescent="0.25">
      <c r="A10" s="24" t="s">
        <v>26</v>
      </c>
      <c r="B10" s="24" t="s">
        <v>27</v>
      </c>
      <c r="C10" s="24" t="s">
        <v>28</v>
      </c>
      <c r="D10" s="24" t="s">
        <v>29</v>
      </c>
      <c r="E10" s="24" t="s">
        <v>30</v>
      </c>
      <c r="F10" s="24" t="s">
        <v>31</v>
      </c>
      <c r="G10" s="24"/>
      <c r="H10" s="22" t="s">
        <v>4</v>
      </c>
      <c r="I10" s="1"/>
      <c r="J10" s="4"/>
      <c r="K10" s="4"/>
      <c r="L10" s="4"/>
      <c r="M10" s="4"/>
    </row>
    <row r="11" spans="1:13" ht="242.25" x14ac:dyDescent="0.25">
      <c r="A11" s="24" t="s">
        <v>32</v>
      </c>
      <c r="B11" s="24" t="s">
        <v>33</v>
      </c>
      <c r="C11" s="24" t="s">
        <v>34</v>
      </c>
      <c r="D11" s="24" t="s">
        <v>35</v>
      </c>
      <c r="E11" s="24" t="s">
        <v>36</v>
      </c>
      <c r="F11" s="24" t="s">
        <v>37</v>
      </c>
      <c r="G11" s="24"/>
      <c r="H11" s="22" t="s">
        <v>4</v>
      </c>
      <c r="I11" s="1"/>
      <c r="J11" s="4"/>
      <c r="K11" s="4"/>
      <c r="L11" s="4"/>
      <c r="M11" s="4"/>
    </row>
    <row r="12" spans="1:13" ht="242.25" x14ac:dyDescent="0.25">
      <c r="A12" s="24" t="s">
        <v>38</v>
      </c>
      <c r="B12" s="24" t="s">
        <v>39</v>
      </c>
      <c r="C12" s="24" t="s">
        <v>34</v>
      </c>
      <c r="D12" s="24" t="s">
        <v>40</v>
      </c>
      <c r="E12" s="24" t="s">
        <v>41</v>
      </c>
      <c r="F12" s="24" t="s">
        <v>42</v>
      </c>
      <c r="G12" s="24"/>
      <c r="H12" s="22" t="s">
        <v>4</v>
      </c>
      <c r="I12" s="1"/>
      <c r="J12" s="4"/>
      <c r="K12" s="4"/>
      <c r="L12" s="4"/>
      <c r="M12" s="4"/>
    </row>
    <row r="13" spans="1:13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</row>
    <row r="16" spans="1:13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</sheetData>
  <dataValidations count="1">
    <dataValidation type="list" allowBlank="1" showInputMessage="1" showErrorMessage="1" sqref="H9:H12" xr:uid="{CD546B7C-DA78-4467-B615-7543E984A2F5}">
      <formula1>"'Pass,'Fail,'Untest,'N/A"</formula1>
    </dataValidation>
  </dataValidations>
  <hyperlinks>
    <hyperlink ref="B2" location="null!A1" display="Back to TestReport" xr:uid="{DB9DF733-0708-4E4A-BED4-08FC7E03EB88}"/>
  </hyperlinks>
  <pageMargins left="0.75" right="0.75" top="1" bottom="1" header="0.5" footer="0.5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3"/>
  <sheetViews>
    <sheetView zoomScale="70" zoomScaleNormal="70" workbookViewId="0">
      <selection activeCell="H3" sqref="H3"/>
    </sheetView>
  </sheetViews>
  <sheetFormatPr defaultRowHeight="15" x14ac:dyDescent="0.25"/>
  <cols>
    <col min="1" max="1" width="18" customWidth="1"/>
    <col min="2" max="2" width="30" customWidth="1"/>
    <col min="3" max="3" width="28" customWidth="1"/>
    <col min="4" max="4" width="52" customWidth="1"/>
    <col min="5" max="5" width="32" customWidth="1"/>
    <col min="6" max="6" width="36" customWidth="1"/>
    <col min="7" max="7" width="10" customWidth="1"/>
    <col min="8" max="8" width="16" customWidth="1"/>
    <col min="9" max="9" width="12" customWidth="1"/>
  </cols>
  <sheetData>
    <row r="1" spans="1:11" ht="15" customHeight="1" thickBot="1" x14ac:dyDescent="0.3">
      <c r="A1" s="2"/>
      <c r="B1" s="3"/>
      <c r="C1" s="3"/>
      <c r="D1" s="3"/>
      <c r="E1" s="3"/>
      <c r="F1" s="3"/>
      <c r="G1" s="2"/>
      <c r="H1" s="2"/>
      <c r="I1" s="3"/>
      <c r="J1" s="3"/>
      <c r="K1" s="3"/>
    </row>
    <row r="2" spans="1:11" x14ac:dyDescent="0.25">
      <c r="A2" s="4"/>
      <c r="B2" s="5" t="s">
        <v>0</v>
      </c>
      <c r="C2" s="5" t="str">
        <f>HYPERLINK("#'Test case List'!A1","Test case List")</f>
        <v>Test case List</v>
      </c>
      <c r="D2" s="4"/>
      <c r="E2" s="4"/>
      <c r="F2" s="4"/>
      <c r="G2" s="6" t="s">
        <v>1</v>
      </c>
      <c r="H2" s="7">
        <f>COUNTIF($A$9:$A$855, "TC*")</f>
        <v>5</v>
      </c>
      <c r="I2" s="4"/>
      <c r="J2" s="4"/>
      <c r="K2" s="4"/>
    </row>
    <row r="3" spans="1:11" x14ac:dyDescent="0.25">
      <c r="A3" s="4"/>
      <c r="B3" s="8" t="s">
        <v>2</v>
      </c>
      <c r="C3" s="9" t="s">
        <v>226</v>
      </c>
      <c r="D3" s="4"/>
      <c r="E3" s="4"/>
      <c r="F3" s="4"/>
      <c r="G3" s="10" t="s">
        <v>4</v>
      </c>
      <c r="H3" s="11">
        <f>(COUNTIF(H9:H54,"Pass"))</f>
        <v>0</v>
      </c>
      <c r="I3" s="4"/>
      <c r="J3" s="4"/>
      <c r="K3" s="4"/>
    </row>
    <row r="4" spans="1:11" ht="15.75" thickBot="1" x14ac:dyDescent="0.3">
      <c r="A4" s="4"/>
      <c r="B4" s="12" t="s">
        <v>5</v>
      </c>
      <c r="C4" s="13" t="s">
        <v>6</v>
      </c>
      <c r="D4" s="4"/>
      <c r="E4" s="4"/>
      <c r="F4" s="4"/>
      <c r="G4" s="10" t="s">
        <v>7</v>
      </c>
      <c r="H4" s="11">
        <f>(COUNTIF(H9:H54,"Fail"))</f>
        <v>0</v>
      </c>
      <c r="I4" s="4"/>
      <c r="J4" s="4"/>
      <c r="K4" s="4"/>
    </row>
    <row r="5" spans="1:11" ht="15.75" thickBot="1" x14ac:dyDescent="0.3">
      <c r="A5" s="4"/>
      <c r="B5" s="14"/>
      <c r="C5" s="14"/>
      <c r="D5" s="4"/>
      <c r="E5" s="4"/>
      <c r="F5" s="4"/>
      <c r="G5" s="10" t="s">
        <v>8</v>
      </c>
      <c r="H5" s="11">
        <f>(COUNTIF(H9:H54,"Untest"))</f>
        <v>5</v>
      </c>
      <c r="I5" s="4"/>
      <c r="J5" s="4"/>
      <c r="K5" s="4"/>
    </row>
    <row r="6" spans="1:11" ht="15.75" thickBot="1" x14ac:dyDescent="0.3">
      <c r="A6" s="14"/>
      <c r="B6" s="15" t="s">
        <v>9</v>
      </c>
      <c r="C6" s="16" t="str">
        <f>ROUND((H3 / (H2-H6))*100,2)&amp;"%"</f>
        <v>0%</v>
      </c>
      <c r="D6" s="4"/>
      <c r="E6" s="4"/>
      <c r="F6" s="4"/>
      <c r="G6" s="17" t="s">
        <v>10</v>
      </c>
      <c r="H6" s="18">
        <f>(COUNTIF(H9:H54,"N/A"))</f>
        <v>0</v>
      </c>
      <c r="I6" s="4"/>
      <c r="J6" s="4"/>
      <c r="K6" s="4"/>
    </row>
    <row r="7" spans="1:11" x14ac:dyDescent="0.25">
      <c r="A7" s="19"/>
      <c r="B7" s="19"/>
      <c r="C7" s="19"/>
      <c r="D7" s="20"/>
      <c r="E7" s="20"/>
      <c r="F7" s="21"/>
      <c r="G7" s="21"/>
      <c r="H7" s="21"/>
      <c r="I7" s="19"/>
      <c r="J7" s="19"/>
      <c r="K7" s="19"/>
    </row>
    <row r="8" spans="1:11" x14ac:dyDescent="0.25">
      <c r="A8" s="31" t="s">
        <v>11</v>
      </c>
      <c r="B8" s="31" t="s">
        <v>12</v>
      </c>
      <c r="C8" s="31" t="s">
        <v>13</v>
      </c>
      <c r="D8" s="31" t="s">
        <v>14</v>
      </c>
      <c r="E8" s="31" t="s">
        <v>15</v>
      </c>
      <c r="F8" s="31" t="s">
        <v>16</v>
      </c>
      <c r="G8" s="31" t="s">
        <v>17</v>
      </c>
      <c r="H8" s="31" t="s">
        <v>18</v>
      </c>
      <c r="I8" s="31" t="s">
        <v>19</v>
      </c>
    </row>
    <row r="9" spans="1:11" ht="234" customHeight="1" x14ac:dyDescent="0.25">
      <c r="A9" s="30" t="s">
        <v>191</v>
      </c>
      <c r="B9" s="30" t="s">
        <v>192</v>
      </c>
      <c r="C9" s="30" t="s">
        <v>193</v>
      </c>
      <c r="D9" s="30" t="s">
        <v>194</v>
      </c>
      <c r="E9" s="30" t="s">
        <v>195</v>
      </c>
      <c r="F9" s="30" t="s">
        <v>196</v>
      </c>
      <c r="G9" s="30"/>
      <c r="H9" s="22" t="s">
        <v>8</v>
      </c>
      <c r="I9" s="30"/>
    </row>
    <row r="10" spans="1:11" ht="201.95" customHeight="1" x14ac:dyDescent="0.25">
      <c r="A10" s="30" t="s">
        <v>197</v>
      </c>
      <c r="B10" s="30" t="s">
        <v>198</v>
      </c>
      <c r="C10" s="30" t="s">
        <v>199</v>
      </c>
      <c r="D10" s="30" t="s">
        <v>200</v>
      </c>
      <c r="E10" s="30" t="s">
        <v>201</v>
      </c>
      <c r="F10" s="30" t="s">
        <v>202</v>
      </c>
      <c r="G10" s="30"/>
      <c r="H10" s="22" t="s">
        <v>8</v>
      </c>
      <c r="I10" s="30"/>
    </row>
    <row r="11" spans="1:11" ht="174.95" customHeight="1" x14ac:dyDescent="0.25">
      <c r="A11" s="30" t="s">
        <v>203</v>
      </c>
      <c r="B11" s="30" t="s">
        <v>204</v>
      </c>
      <c r="C11" s="30" t="s">
        <v>205</v>
      </c>
      <c r="D11" s="30" t="s">
        <v>206</v>
      </c>
      <c r="E11" s="30" t="s">
        <v>207</v>
      </c>
      <c r="F11" s="30" t="s">
        <v>208</v>
      </c>
      <c r="G11" s="30"/>
      <c r="H11" s="22" t="s">
        <v>8</v>
      </c>
      <c r="I11" s="30"/>
    </row>
    <row r="12" spans="1:11" ht="138" customHeight="1" x14ac:dyDescent="0.25">
      <c r="A12" s="30" t="s">
        <v>209</v>
      </c>
      <c r="B12" s="30" t="s">
        <v>210</v>
      </c>
      <c r="C12" s="30" t="s">
        <v>211</v>
      </c>
      <c r="D12" s="30" t="s">
        <v>212</v>
      </c>
      <c r="E12" s="30" t="s">
        <v>213</v>
      </c>
      <c r="F12" s="30" t="s">
        <v>214</v>
      </c>
      <c r="G12" s="30"/>
      <c r="H12" s="22" t="s">
        <v>8</v>
      </c>
      <c r="I12" s="30"/>
    </row>
    <row r="13" spans="1:11" ht="204.95" customHeight="1" x14ac:dyDescent="0.25">
      <c r="A13" s="30" t="s">
        <v>215</v>
      </c>
      <c r="B13" s="30" t="s">
        <v>236</v>
      </c>
      <c r="C13" s="30" t="s">
        <v>216</v>
      </c>
      <c r="D13" s="30" t="s">
        <v>217</v>
      </c>
      <c r="E13" s="30" t="s">
        <v>218</v>
      </c>
      <c r="F13" s="30" t="s">
        <v>219</v>
      </c>
      <c r="G13" s="30"/>
      <c r="H13" s="22" t="s">
        <v>8</v>
      </c>
      <c r="I13" s="30"/>
    </row>
  </sheetData>
  <dataValidations count="2">
    <dataValidation type="list" allowBlank="1" showInputMessage="1" showErrorMessage="1" prompt=" - " sqref="F7" xr:uid="{6D29FC1D-EB67-4A64-816B-E696A11CB644}">
      <formula1>#REF!</formula1>
    </dataValidation>
    <dataValidation type="list" allowBlank="1" showInputMessage="1" showErrorMessage="1" sqref="H9:H13" xr:uid="{BF38A62C-EA86-4C04-92F4-40DE99EA0870}">
      <formula1>"'Pass,'Fail,'Untest,'N/A"</formula1>
    </dataValidation>
  </dataValidations>
  <hyperlinks>
    <hyperlink ref="B2" location="null!A1" display="Back to TestReport" xr:uid="{9226E540-4DD9-48B9-B35F-7A265B43D7A9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68A50-1359-4463-940C-675470B19345}">
  <dimension ref="A1:K59"/>
  <sheetViews>
    <sheetView workbookViewId="0">
      <selection activeCell="G25" sqref="G25"/>
    </sheetView>
  </sheetViews>
  <sheetFormatPr defaultRowHeight="15" x14ac:dyDescent="0.25"/>
  <cols>
    <col min="2" max="2" width="15.5703125" bestFit="1" customWidth="1"/>
    <col min="3" max="3" width="26.28515625" bestFit="1" customWidth="1"/>
    <col min="7" max="7" width="12.5703125" bestFit="1" customWidth="1"/>
    <col min="8" max="8" width="17.140625" customWidth="1"/>
    <col min="9" max="9" width="34.5703125" bestFit="1" customWidth="1"/>
  </cols>
  <sheetData>
    <row r="1" spans="1:11" ht="26.25" x14ac:dyDescent="0.4">
      <c r="A1" s="90" t="s">
        <v>237</v>
      </c>
      <c r="B1" s="90"/>
      <c r="C1" s="90"/>
      <c r="D1" s="90"/>
      <c r="E1" s="90"/>
      <c r="F1" s="90"/>
      <c r="G1" s="90"/>
      <c r="H1" s="90"/>
      <c r="I1" s="90"/>
      <c r="J1" s="90"/>
      <c r="K1" s="32"/>
    </row>
    <row r="2" spans="1:11" x14ac:dyDescent="0.25">
      <c r="A2" s="57"/>
      <c r="B2" s="57"/>
      <c r="C2" s="32"/>
      <c r="D2" s="32"/>
      <c r="E2" s="32"/>
      <c r="F2" s="32"/>
      <c r="G2" s="32"/>
      <c r="H2" s="32"/>
      <c r="I2" s="58"/>
      <c r="J2" s="32"/>
      <c r="K2" s="32"/>
    </row>
    <row r="3" spans="1:11" x14ac:dyDescent="0.25">
      <c r="A3" s="32"/>
      <c r="B3" s="59" t="s">
        <v>228</v>
      </c>
      <c r="C3" s="56" t="str">
        <f>'[2]3. Đề xuất ĐT'!C4</f>
        <v>Vu Vy Thanh</v>
      </c>
      <c r="D3" s="81"/>
      <c r="E3" s="79" t="s">
        <v>238</v>
      </c>
      <c r="F3" s="82"/>
      <c r="G3" s="60"/>
      <c r="H3" s="60" t="str">
        <f>'[2]4. Xem trạng thái ĐK'!G4</f>
        <v>Fail</v>
      </c>
      <c r="I3" s="61"/>
      <c r="J3" s="32"/>
      <c r="K3" s="32"/>
    </row>
    <row r="4" spans="1:11" x14ac:dyDescent="0.25">
      <c r="A4" s="32"/>
      <c r="B4" s="59" t="s">
        <v>229</v>
      </c>
      <c r="C4" s="56" t="e">
        <f>[2]Cover!C5</f>
        <v>#REF!</v>
      </c>
      <c r="D4" s="81"/>
      <c r="E4" s="79" t="s">
        <v>239</v>
      </c>
      <c r="F4" s="82"/>
      <c r="G4" s="60"/>
      <c r="H4" s="60"/>
      <c r="I4" s="61"/>
      <c r="J4" s="32"/>
      <c r="K4" s="32"/>
    </row>
    <row r="5" spans="1:11" x14ac:dyDescent="0.25">
      <c r="A5" s="32"/>
      <c r="B5" s="62" t="s">
        <v>240</v>
      </c>
      <c r="C5" s="56" t="e">
        <f>C4&amp;"_"&amp;"Test Report"&amp;"_"&amp;"vx.x"</f>
        <v>#REF!</v>
      </c>
      <c r="D5" s="81"/>
      <c r="E5" s="79" t="s">
        <v>241</v>
      </c>
      <c r="F5" s="82"/>
      <c r="G5" s="60"/>
      <c r="H5" s="60"/>
      <c r="I5" s="63" t="s">
        <v>242</v>
      </c>
      <c r="J5" s="32"/>
      <c r="K5" s="32"/>
    </row>
    <row r="6" spans="1:11" x14ac:dyDescent="0.25">
      <c r="A6" s="57"/>
      <c r="B6" s="62" t="s">
        <v>243</v>
      </c>
      <c r="C6" s="80" t="s">
        <v>244</v>
      </c>
      <c r="D6" s="83"/>
      <c r="E6" s="83"/>
      <c r="F6" s="83"/>
      <c r="G6" s="83"/>
      <c r="H6" s="83"/>
      <c r="I6" s="63"/>
      <c r="J6" s="32"/>
      <c r="K6" s="32"/>
    </row>
    <row r="7" spans="1:11" x14ac:dyDescent="0.25">
      <c r="A7" s="57"/>
      <c r="B7" s="64"/>
      <c r="C7" s="65"/>
      <c r="D7" s="32"/>
      <c r="E7" s="32"/>
      <c r="F7" s="32"/>
      <c r="G7" s="32"/>
      <c r="H7" s="32"/>
      <c r="I7" s="58"/>
      <c r="J7" s="32"/>
      <c r="K7" s="32"/>
    </row>
    <row r="8" spans="1:11" x14ac:dyDescent="0.25">
      <c r="A8" s="32"/>
      <c r="B8" s="64"/>
      <c r="C8" s="65"/>
      <c r="D8" s="32"/>
      <c r="E8" s="32"/>
      <c r="F8" s="32"/>
      <c r="G8" s="32"/>
      <c r="H8" s="32"/>
      <c r="I8" s="58"/>
      <c r="J8" s="32"/>
      <c r="K8" s="32"/>
    </row>
    <row r="9" spans="1:11" x14ac:dyDescent="0.25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</row>
    <row r="10" spans="1:11" ht="26.25" x14ac:dyDescent="0.25">
      <c r="A10" s="32"/>
      <c r="B10" s="66" t="s">
        <v>232</v>
      </c>
      <c r="C10" s="66" t="s">
        <v>245</v>
      </c>
      <c r="D10" s="67" t="s">
        <v>246</v>
      </c>
      <c r="E10" s="66" t="s">
        <v>247</v>
      </c>
      <c r="F10" s="66" t="s">
        <v>8</v>
      </c>
      <c r="G10" s="66" t="s">
        <v>248</v>
      </c>
      <c r="H10" s="67" t="s">
        <v>249</v>
      </c>
      <c r="I10" s="32"/>
      <c r="J10" s="32"/>
      <c r="K10" s="32"/>
    </row>
    <row r="11" spans="1:11" x14ac:dyDescent="0.25">
      <c r="A11" s="32"/>
      <c r="B11" s="68">
        <v>1</v>
      </c>
      <c r="C11" s="69" t="str">
        <f>'[1]Test case List'!C9</f>
        <v>Cập nhật thông tin cá nhân</v>
      </c>
      <c r="D11" s="68">
        <v>0</v>
      </c>
      <c r="E11" s="68">
        <v>0</v>
      </c>
      <c r="F11" s="68">
        <v>3</v>
      </c>
      <c r="G11" s="68">
        <v>0</v>
      </c>
      <c r="H11" s="68">
        <f t="shared" ref="H11:H20" si="0">SUM(D11:G11)</f>
        <v>3</v>
      </c>
      <c r="I11" s="32"/>
      <c r="J11" s="32"/>
      <c r="K11" s="32"/>
    </row>
    <row r="12" spans="1:11" x14ac:dyDescent="0.25">
      <c r="A12" s="32"/>
      <c r="B12" s="68">
        <v>2</v>
      </c>
      <c r="C12" s="69" t="str">
        <f>'[1]Test case List'!C10</f>
        <v>Đăng ký đề tài</v>
      </c>
      <c r="D12" s="68">
        <v>0</v>
      </c>
      <c r="E12" s="68">
        <v>0</v>
      </c>
      <c r="F12" s="68">
        <v>3</v>
      </c>
      <c r="G12" s="68">
        <v>0</v>
      </c>
      <c r="H12" s="68">
        <f t="shared" si="0"/>
        <v>3</v>
      </c>
      <c r="I12" s="32"/>
      <c r="J12" s="32"/>
      <c r="K12" s="32"/>
    </row>
    <row r="13" spans="1:11" x14ac:dyDescent="0.25">
      <c r="A13" s="32"/>
      <c r="B13" s="68">
        <v>3</v>
      </c>
      <c r="C13" s="69" t="str">
        <f>'[1]Test case List'!C11</f>
        <v>Đề xuất đề tài</v>
      </c>
      <c r="D13" s="68">
        <v>0</v>
      </c>
      <c r="E13" s="68">
        <v>0</v>
      </c>
      <c r="F13" s="68">
        <v>3</v>
      </c>
      <c r="G13" s="68">
        <v>0</v>
      </c>
      <c r="H13" s="68">
        <f t="shared" si="0"/>
        <v>3</v>
      </c>
      <c r="I13" s="32"/>
      <c r="J13" s="32"/>
      <c r="K13" s="32"/>
    </row>
    <row r="14" spans="1:11" x14ac:dyDescent="0.25">
      <c r="A14" s="32"/>
      <c r="B14" s="68">
        <v>4</v>
      </c>
      <c r="C14" s="69" t="str">
        <f>'[1]Test case List'!C12</f>
        <v>Xem trạng thái đăng ký đề tài</v>
      </c>
      <c r="D14" s="68">
        <v>0</v>
      </c>
      <c r="E14" s="68">
        <v>0</v>
      </c>
      <c r="F14" s="68">
        <v>3</v>
      </c>
      <c r="G14" s="68">
        <v>0</v>
      </c>
      <c r="H14" s="68">
        <f t="shared" si="0"/>
        <v>3</v>
      </c>
      <c r="I14" s="32"/>
      <c r="J14" s="32"/>
      <c r="K14" s="32"/>
    </row>
    <row r="15" spans="1:11" x14ac:dyDescent="0.25">
      <c r="A15" s="32"/>
      <c r="B15" s="68">
        <v>5</v>
      </c>
      <c r="C15" s="69" t="str">
        <f>'[1]Test case List'!C13</f>
        <v>Xem quy trình hướng dẫn</v>
      </c>
      <c r="D15" s="68">
        <v>0</v>
      </c>
      <c r="E15" s="68">
        <v>0</v>
      </c>
      <c r="F15" s="68">
        <v>2</v>
      </c>
      <c r="G15" s="68">
        <v>0</v>
      </c>
      <c r="H15" s="68">
        <f t="shared" si="0"/>
        <v>2</v>
      </c>
      <c r="I15" s="32"/>
      <c r="J15" s="32"/>
      <c r="K15" s="32"/>
    </row>
    <row r="16" spans="1:11" x14ac:dyDescent="0.25">
      <c r="A16" s="32"/>
      <c r="B16" s="68">
        <v>6</v>
      </c>
      <c r="C16" s="69" t="str">
        <f>'[1]Test case List'!C14</f>
        <v>Nộp báo cáo tuần</v>
      </c>
      <c r="D16" s="68">
        <v>0</v>
      </c>
      <c r="E16" s="68">
        <v>0</v>
      </c>
      <c r="F16" s="68">
        <v>3</v>
      </c>
      <c r="G16" s="68">
        <v>0</v>
      </c>
      <c r="H16" s="68">
        <f t="shared" si="0"/>
        <v>3</v>
      </c>
      <c r="I16" s="32"/>
      <c r="J16" s="32"/>
      <c r="K16" s="32"/>
    </row>
    <row r="17" spans="1:11" x14ac:dyDescent="0.25">
      <c r="A17" s="32"/>
      <c r="B17" s="68">
        <v>7</v>
      </c>
      <c r="C17" s="69" t="str">
        <f>'[1]Test case List'!C15</f>
        <v>Nộp báo cáo cuối</v>
      </c>
      <c r="D17" s="68">
        <v>0</v>
      </c>
      <c r="E17" s="68">
        <v>0</v>
      </c>
      <c r="F17" s="68">
        <v>3</v>
      </c>
      <c r="G17" s="68">
        <v>0</v>
      </c>
      <c r="H17" s="68">
        <f t="shared" si="0"/>
        <v>3</v>
      </c>
      <c r="I17" s="32"/>
      <c r="J17" s="32"/>
      <c r="K17" s="32"/>
    </row>
    <row r="18" spans="1:11" x14ac:dyDescent="0.25">
      <c r="A18" s="32"/>
      <c r="B18" s="68">
        <v>8</v>
      </c>
      <c r="C18" s="69" t="str">
        <f>'[1]Test case List'!C16</f>
        <v>Xem thông tin phản biện</v>
      </c>
      <c r="D18" s="68">
        <v>0</v>
      </c>
      <c r="E18" s="68">
        <v>0</v>
      </c>
      <c r="F18" s="68">
        <v>3</v>
      </c>
      <c r="G18" s="68">
        <v>0</v>
      </c>
      <c r="H18" s="68">
        <f t="shared" si="0"/>
        <v>3</v>
      </c>
      <c r="I18" s="32"/>
      <c r="J18" s="32"/>
      <c r="K18" s="32"/>
    </row>
    <row r="19" spans="1:11" x14ac:dyDescent="0.25">
      <c r="A19" s="32"/>
      <c r="B19" s="68">
        <v>9</v>
      </c>
      <c r="C19" s="69" t="str">
        <f>'[1]Test case List'!C17</f>
        <v>Xem thông tin hội đồng bảo vệ</v>
      </c>
      <c r="D19" s="68">
        <v>0</v>
      </c>
      <c r="E19" s="68">
        <v>0</v>
      </c>
      <c r="F19" s="68">
        <v>2</v>
      </c>
      <c r="G19" s="68">
        <v>0</v>
      </c>
      <c r="H19" s="68">
        <f t="shared" si="0"/>
        <v>2</v>
      </c>
      <c r="I19" s="32"/>
      <c r="J19" s="32"/>
      <c r="K19" s="32"/>
    </row>
    <row r="20" spans="1:11" x14ac:dyDescent="0.25">
      <c r="A20" s="32"/>
      <c r="B20" s="68">
        <v>10</v>
      </c>
      <c r="C20" s="69" t="str">
        <f>'[1]Test case List'!C18</f>
        <v>Đăng nhập</v>
      </c>
      <c r="D20" s="68">
        <v>4</v>
      </c>
      <c r="E20" s="68">
        <v>0</v>
      </c>
      <c r="F20" s="68">
        <v>0</v>
      </c>
      <c r="G20" s="68">
        <v>0</v>
      </c>
      <c r="H20" s="68">
        <f t="shared" si="0"/>
        <v>4</v>
      </c>
      <c r="I20" s="32"/>
      <c r="J20" s="32"/>
      <c r="K20" s="32"/>
    </row>
    <row r="21" spans="1:11" x14ac:dyDescent="0.25">
      <c r="A21" s="32"/>
      <c r="B21" s="68">
        <v>11</v>
      </c>
      <c r="C21" s="70" t="s">
        <v>226</v>
      </c>
      <c r="D21" s="68">
        <v>0</v>
      </c>
      <c r="E21" s="68">
        <v>0</v>
      </c>
      <c r="F21" s="68">
        <v>5</v>
      </c>
      <c r="G21" s="68">
        <v>0</v>
      </c>
      <c r="H21" s="68">
        <f>SUM(D21:G21)</f>
        <v>5</v>
      </c>
      <c r="I21" s="32"/>
      <c r="J21" s="32"/>
      <c r="K21" s="32"/>
    </row>
    <row r="22" spans="1:11" x14ac:dyDescent="0.25">
      <c r="A22" s="32"/>
      <c r="B22" s="71"/>
      <c r="C22" s="72" t="s">
        <v>250</v>
      </c>
      <c r="D22" s="71">
        <f t="shared" ref="D22:H22" si="1">SUM(D11:D20)</f>
        <v>4</v>
      </c>
      <c r="E22" s="71">
        <f t="shared" si="1"/>
        <v>0</v>
      </c>
      <c r="F22" s="71">
        <f t="shared" si="1"/>
        <v>25</v>
      </c>
      <c r="G22" s="71">
        <f t="shared" si="1"/>
        <v>0</v>
      </c>
      <c r="H22" s="71">
        <f t="shared" si="1"/>
        <v>29</v>
      </c>
      <c r="I22" s="32"/>
      <c r="J22" s="32"/>
      <c r="K22" s="32"/>
    </row>
    <row r="23" spans="1:11" x14ac:dyDescent="0.25">
      <c r="A23" s="32"/>
      <c r="B23" s="73"/>
      <c r="C23" s="32"/>
      <c r="D23" s="74"/>
      <c r="E23" s="75"/>
      <c r="F23" s="75"/>
      <c r="G23" s="75"/>
      <c r="H23" s="75"/>
      <c r="I23" s="75"/>
      <c r="J23" s="32"/>
      <c r="K23" s="32"/>
    </row>
    <row r="24" spans="1:11" x14ac:dyDescent="0.25">
      <c r="A24" s="32"/>
      <c r="B24" s="32"/>
      <c r="C24" s="76" t="s">
        <v>251</v>
      </c>
      <c r="D24" s="77">
        <f>ROUND((D22+E22)*100/H22,2)</f>
        <v>13.79</v>
      </c>
      <c r="E24" s="32" t="s">
        <v>252</v>
      </c>
      <c r="F24" s="32"/>
      <c r="G24" s="32"/>
      <c r="H24" s="32"/>
      <c r="I24" s="20"/>
      <c r="J24" s="32"/>
      <c r="K24" s="32"/>
    </row>
    <row r="25" spans="1:11" x14ac:dyDescent="0.25">
      <c r="A25" s="32"/>
      <c r="B25" s="32"/>
      <c r="C25" s="76" t="s">
        <v>253</v>
      </c>
      <c r="D25" s="78">
        <f>D22*100/(D22+E22)</f>
        <v>100</v>
      </c>
      <c r="E25" s="32" t="s">
        <v>252</v>
      </c>
      <c r="F25" s="32"/>
      <c r="G25" s="32"/>
      <c r="H25" s="32"/>
      <c r="I25" s="20"/>
      <c r="J25" s="32"/>
      <c r="K25" s="32"/>
    </row>
    <row r="26" spans="1:11" x14ac:dyDescent="0.25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</row>
    <row r="27" spans="1:11" x14ac:dyDescent="0.25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</row>
    <row r="28" spans="1:11" x14ac:dyDescent="0.25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</row>
    <row r="29" spans="1:11" x14ac:dyDescent="0.25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</row>
    <row r="30" spans="1:11" x14ac:dyDescent="0.25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</row>
    <row r="31" spans="1:11" x14ac:dyDescent="0.25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</row>
    <row r="32" spans="1:11" x14ac:dyDescent="0.25">
      <c r="A32" s="32"/>
      <c r="B32" s="32"/>
      <c r="C32" s="32"/>
      <c r="D32" s="32"/>
      <c r="E32" s="32"/>
      <c r="F32" s="32"/>
      <c r="G32" s="32"/>
      <c r="H32" s="32"/>
      <c r="I32" s="32"/>
      <c r="J32" s="32"/>
    </row>
    <row r="33" spans="1:11" x14ac:dyDescent="0.25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</row>
    <row r="34" spans="1:11" x14ac:dyDescent="0.25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</row>
    <row r="35" spans="1:11" x14ac:dyDescent="0.25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</row>
    <row r="36" spans="1:11" x14ac:dyDescent="0.25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</row>
    <row r="37" spans="1:11" x14ac:dyDescent="0.25">
      <c r="A37" s="32"/>
      <c r="B37" s="32"/>
      <c r="C37" s="32"/>
      <c r="D37" s="32"/>
      <c r="E37" s="32"/>
      <c r="F37" s="32"/>
      <c r="G37" s="32"/>
      <c r="H37" s="32"/>
      <c r="I37" s="32"/>
      <c r="J37" s="32"/>
    </row>
    <row r="38" spans="1:11" x14ac:dyDescent="0.25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</row>
    <row r="39" spans="1:11" x14ac:dyDescent="0.25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</row>
    <row r="45" spans="1:11" x14ac:dyDescent="0.25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</row>
    <row r="46" spans="1:11" x14ac:dyDescent="0.25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</row>
    <row r="47" spans="1:11" x14ac:dyDescent="0.25">
      <c r="A47" s="32"/>
      <c r="B47" s="32"/>
      <c r="C47" s="32"/>
      <c r="D47" s="32"/>
      <c r="E47" s="32"/>
      <c r="F47" s="32"/>
      <c r="G47" s="32"/>
      <c r="H47" s="32"/>
      <c r="I47" s="32"/>
      <c r="J47" s="32"/>
    </row>
    <row r="48" spans="1:11" x14ac:dyDescent="0.25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</row>
    <row r="49" spans="1:11" x14ac:dyDescent="0.25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</row>
    <row r="50" spans="1:11" x14ac:dyDescent="0.25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</row>
    <row r="51" spans="1:11" x14ac:dyDescent="0.25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</row>
    <row r="52" spans="1:11" x14ac:dyDescent="0.25">
      <c r="A52" s="32"/>
      <c r="B52" s="32"/>
      <c r="C52" s="32"/>
      <c r="D52" s="32"/>
      <c r="E52" s="32"/>
      <c r="F52" s="32"/>
      <c r="G52" s="32"/>
      <c r="H52" s="32"/>
      <c r="I52" s="32"/>
      <c r="J52" s="32"/>
    </row>
    <row r="53" spans="1:11" x14ac:dyDescent="0.25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</row>
    <row r="54" spans="1:1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</row>
    <row r="55" spans="1:11" x14ac:dyDescent="0.25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</row>
    <row r="56" spans="1:11" x14ac:dyDescent="0.25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</row>
    <row r="57" spans="1:11" x14ac:dyDescent="0.25">
      <c r="A57" s="32"/>
      <c r="B57" s="32"/>
      <c r="C57" s="32"/>
      <c r="D57" s="32"/>
      <c r="E57" s="32"/>
      <c r="F57" s="32"/>
      <c r="G57" s="32"/>
      <c r="H57" s="32"/>
      <c r="I57" s="32"/>
      <c r="J57" s="32"/>
    </row>
    <row r="58" spans="1:11" x14ac:dyDescent="0.25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</row>
    <row r="59" spans="1:11" x14ac:dyDescent="0.25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TC list</vt:lpstr>
      <vt:lpstr>1. Cập nhật thông tin</vt:lpstr>
      <vt:lpstr>2. Đăng ký ĐT</vt:lpstr>
      <vt:lpstr>3. Đề xuất ĐT</vt:lpstr>
      <vt:lpstr>4. Xem trạng thái ĐK</vt:lpstr>
      <vt:lpstr>5. Xem quy trình HD</vt:lpstr>
      <vt:lpstr>6. Nộp BC tuần</vt:lpstr>
      <vt:lpstr>7. Nộp BC cuối</vt:lpstr>
      <vt:lpstr>8. Xem phản biện</vt:lpstr>
      <vt:lpstr>9. Xem hội đồng</vt:lpstr>
      <vt:lpstr>10. Đăng nhập</vt:lpstr>
      <vt:lpstr>Hệ thống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2026-05-19T06:51:15Z</dcterms:created>
  <dcterms:modified xsi:type="dcterms:W3CDTF">2026-05-21T09:09:48Z</dcterms:modified>
</cp:coreProperties>
</file>