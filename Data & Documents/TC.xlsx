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DATA\_DA\DA3\Data &amp; Documents\"/>
    </mc:Choice>
  </mc:AlternateContent>
  <xr:revisionPtr revIDLastSave="0" documentId="13_ncr:1_{E6C6938A-002E-49EF-8F57-98D25C2E5F24}" xr6:coauthVersionLast="47" xr6:coauthVersionMax="47" xr10:uidLastSave="{00000000-0000-0000-0000-000000000000}"/>
  <bookViews>
    <workbookView xWindow="5895" yWindow="1725" windowWidth="12450" windowHeight="13185" tabRatio="972" firstSheet="2" activeTab="11" xr2:uid="{00000000-000D-0000-FFFF-FFFF00000000}"/>
  </bookViews>
  <sheets>
    <sheet name="Cover" sheetId="1" r:id="rId1"/>
    <sheet name="Test case List" sheetId="2" r:id="rId2"/>
    <sheet name="1. Cập nhật ttcn" sheetId="8" r:id="rId3"/>
    <sheet name="2. Đăng ký ĐT" sheetId="30" r:id="rId4"/>
    <sheet name="3. Đề xuất ĐT" sheetId="31" r:id="rId5"/>
    <sheet name="4. Xem trạng thái đăng ký ĐT" sheetId="32" r:id="rId6"/>
    <sheet name="5. Xem quy trình hướng dẫn " sheetId="34" r:id="rId7"/>
    <sheet name="6. Nộp báo cáo tuần" sheetId="35" r:id="rId8"/>
    <sheet name="7. Nộp BC cuối" sheetId="36" r:id="rId9"/>
    <sheet name="8. Xem PB" sheetId="37" r:id="rId10"/>
    <sheet name="9. Xem HĐBV" sheetId="39" r:id="rId11"/>
    <sheet name="10. Đăng nhập" sheetId="33" r:id="rId12"/>
    <sheet name="Test Report" sheetId="14" r:id="rId13"/>
  </sheets>
  <externalReferences>
    <externalReference r:id="rId14"/>
  </externalReferences>
  <definedNames>
    <definedName name="_Fill">#REF!</definedName>
    <definedName name="Access">[1]Validation!$E$2:$E$223</definedName>
    <definedName name="AccessCircuit">[1]Validation!$C$2:$C$29</definedName>
    <definedName name="ACTION">#REF!</definedName>
    <definedName name="CoS">[1]Validation!$G$2:$G$47</definedName>
    <definedName name="Countries">[1]Validation!$A$2:$A$301</definedName>
    <definedName name="Document_array">{"Book1"}</definedName>
    <definedName name="DSLCheckService">[1]Validation!$H$2:$H$4</definedName>
    <definedName name="fds">{"Book1"}</definedName>
    <definedName name="Funtion1">'Test case List'!#REF!</definedName>
    <definedName name="Google_Sheet_Link_1053467732_960784281" hidden="1">Status</definedName>
    <definedName name="Google_Sheet_Link_1082015885_984513721" hidden="1">Status</definedName>
    <definedName name="Google_Sheet_Link_1452329696_302441322" hidden="1">Status</definedName>
    <definedName name="Google_Sheet_Link_2076547269_1223133794" hidden="1">Status</definedName>
    <definedName name="Google_Sheet_Link_28081855_168006043" hidden="1">Status</definedName>
    <definedName name="Google_Sheet_Link_480452964_1458277083" hidden="1">Status</definedName>
    <definedName name="Google_Sheet_Link_577212475_1031760892" hidden="1">Status</definedName>
    <definedName name="Google_Sheet_Link_594433794_1729209152" hidden="1">Status</definedName>
    <definedName name="Google_Sheet_Link_644404316_1467984873" hidden="1">Status</definedName>
    <definedName name="Google_Sheet_Link_920684303_1918957604" hidden="1">Status</definedName>
    <definedName name="Google_Sheet_Link_924527708_512808820" hidden="1">Status</definedName>
    <definedName name="Login">'Test case List'!#REF!</definedName>
    <definedName name="Ma_testcase_34">#REF!</definedName>
    <definedName name="Port">[1]Validation!$F$2:$F$40</definedName>
    <definedName name="QLDH_TDTT_41">#REF!</definedName>
    <definedName name="QLHD_CDHD_15">#REF!</definedName>
    <definedName name="QLHD_CNHD_34">#REF!</definedName>
    <definedName name="QLHD_GHD_34">#REF!</definedName>
    <definedName name="QLHD_HHD_13">#REF!</definedName>
    <definedName name="QLHD_KHD_6">#REF!</definedName>
    <definedName name="QLHD_TH_1">#REF!</definedName>
    <definedName name="QLHD_THD_34">#REF!</definedName>
    <definedName name="Status" localSheetId="2">'1. Cập nhật ttcn'!#REF!</definedName>
    <definedName name="Status" localSheetId="11">'10. Đăng nhập'!#REF!</definedName>
    <definedName name="Status" localSheetId="3">'2. Đăng ký ĐT'!#REF!</definedName>
    <definedName name="Status" localSheetId="4">'3. Đề xuất ĐT'!#REF!</definedName>
    <definedName name="Status" localSheetId="5">'4. Xem trạng thái đăng ký ĐT'!#REF!</definedName>
    <definedName name="Status" localSheetId="6">'5. Xem quy trình hướng dẫn '!#REF!</definedName>
    <definedName name="Status" localSheetId="7">'6. Nộp báo cáo tuần'!#REF!</definedName>
    <definedName name="Status" localSheetId="8">'7. Nộp BC cuối'!#REF!</definedName>
    <definedName name="Status" localSheetId="9">'8. Xem PB'!#REF!</definedName>
    <definedName name="Status" localSheetId="10">'9. Xem HĐBV'!#REF!</definedName>
    <definedName name="Status">#REF!</definedName>
    <definedName name="Tên_TestCase">#REF!</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14" l="1"/>
  <c r="D14" i="14"/>
  <c r="D13" i="14"/>
  <c r="D12" i="14"/>
  <c r="E12" i="14"/>
  <c r="G12" i="14"/>
  <c r="H12" i="14"/>
  <c r="E13" i="14"/>
  <c r="G13" i="14"/>
  <c r="E14" i="14"/>
  <c r="G14" i="14"/>
  <c r="E20" i="14"/>
  <c r="F20" i="14"/>
  <c r="G20" i="14"/>
  <c r="H20" i="14"/>
  <c r="D16" i="2" l="1"/>
  <c r="H5" i="35"/>
  <c r="H5" i="34"/>
  <c r="F15" i="14" s="1"/>
  <c r="H5" i="32"/>
  <c r="F14" i="14" s="1"/>
  <c r="H14" i="14" s="1"/>
  <c r="H5" i="31"/>
  <c r="F13" i="14" s="1"/>
  <c r="H13" i="14" s="1"/>
  <c r="H5" i="30"/>
  <c r="F12" i="14" s="1"/>
  <c r="H3" i="30"/>
  <c r="H3" i="31"/>
  <c r="H3" i="32"/>
  <c r="H3" i="34"/>
  <c r="D15" i="14" s="1"/>
  <c r="H3" i="35"/>
  <c r="D16" i="14" s="1"/>
  <c r="H3" i="36"/>
  <c r="D17" i="14" s="1"/>
  <c r="H4" i="8"/>
  <c r="E16" i="14" s="1"/>
  <c r="H5" i="8"/>
  <c r="H6" i="8"/>
  <c r="G16" i="14" s="1"/>
  <c r="H3" i="8"/>
  <c r="D11" i="14" s="1"/>
  <c r="F11" i="14" l="1"/>
  <c r="F16" i="14"/>
  <c r="H16" i="14"/>
  <c r="H2" i="35"/>
  <c r="D18" i="2"/>
  <c r="D17" i="2"/>
  <c r="H6" i="39"/>
  <c r="G19" i="14" s="1"/>
  <c r="H5" i="39"/>
  <c r="F19" i="14" s="1"/>
  <c r="H4" i="39"/>
  <c r="E19" i="14" s="1"/>
  <c r="H3" i="39"/>
  <c r="D19" i="14" s="1"/>
  <c r="H19" i="14" s="1"/>
  <c r="H2" i="39"/>
  <c r="C2" i="39"/>
  <c r="H6" i="37"/>
  <c r="G18" i="14" s="1"/>
  <c r="H5" i="37"/>
  <c r="F18" i="14" s="1"/>
  <c r="H4" i="37"/>
  <c r="E18" i="14" s="1"/>
  <c r="H3" i="37"/>
  <c r="D18" i="14" s="1"/>
  <c r="H2" i="37"/>
  <c r="C2" i="37"/>
  <c r="H6" i="36"/>
  <c r="G17" i="14" s="1"/>
  <c r="H5" i="36"/>
  <c r="F17" i="14" s="1"/>
  <c r="H4" i="36"/>
  <c r="E17" i="14" s="1"/>
  <c r="H2" i="36"/>
  <c r="C2" i="36"/>
  <c r="H6" i="35"/>
  <c r="H4" i="35"/>
  <c r="C2" i="35"/>
  <c r="H6" i="34"/>
  <c r="G15" i="14" s="1"/>
  <c r="H4" i="34"/>
  <c r="E15" i="14" s="1"/>
  <c r="H15" i="14" s="1"/>
  <c r="H2" i="34"/>
  <c r="C2" i="34"/>
  <c r="H6" i="33"/>
  <c r="H5" i="33"/>
  <c r="H4" i="33"/>
  <c r="H3" i="33"/>
  <c r="H6" i="32"/>
  <c r="H4" i="32"/>
  <c r="H6" i="31"/>
  <c r="H4" i="31"/>
  <c r="H6" i="30"/>
  <c r="H4" i="30"/>
  <c r="G11" i="14"/>
  <c r="E11" i="14"/>
  <c r="H2" i="33"/>
  <c r="C2" i="33"/>
  <c r="H2" i="32"/>
  <c r="C2" i="32"/>
  <c r="H2" i="31"/>
  <c r="C2" i="31"/>
  <c r="H2" i="30"/>
  <c r="H2" i="8"/>
  <c r="C2" i="30"/>
  <c r="D10" i="2"/>
  <c r="D9" i="2"/>
  <c r="C12" i="14"/>
  <c r="C13" i="14"/>
  <c r="C14" i="14"/>
  <c r="C15" i="14"/>
  <c r="C16" i="14"/>
  <c r="C17" i="14"/>
  <c r="C18" i="14"/>
  <c r="C19" i="14"/>
  <c r="C20" i="14"/>
  <c r="C11" i="14"/>
  <c r="C4" i="14"/>
  <c r="C5" i="14" s="1"/>
  <c r="H3" i="14"/>
  <c r="C3" i="14"/>
  <c r="D3" i="2"/>
  <c r="C2" i="8"/>
  <c r="D15" i="2"/>
  <c r="D14" i="2"/>
  <c r="D12" i="2"/>
  <c r="D13" i="2"/>
  <c r="D11" i="2"/>
  <c r="C6" i="1"/>
  <c r="D4" i="2"/>
  <c r="H18" i="14" l="1"/>
  <c r="H17" i="14"/>
  <c r="C6" i="39"/>
  <c r="C6" i="37"/>
  <c r="C6" i="36"/>
  <c r="C6" i="34"/>
  <c r="C6" i="32"/>
  <c r="C6" i="35"/>
  <c r="C6" i="33"/>
  <c r="C6" i="31"/>
  <c r="C6" i="30"/>
  <c r="F22" i="14"/>
  <c r="G22" i="14"/>
  <c r="C6" i="8"/>
  <c r="H11" i="14"/>
  <c r="E22" i="14"/>
  <c r="D22" i="14" l="1"/>
  <c r="D25" i="14" s="1"/>
  <c r="H22" i="14"/>
  <c r="D24"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MS PGothic"/>
            <family val="2"/>
            <scheme val="minor"/>
          </rPr>
          <t>======
ID#AAABwaVfCpQ
    (2025-12-30 03:41:02)
*A: Add
  M: Modify
  D: Delete</t>
        </r>
      </text>
    </comment>
  </commentList>
  <extLst>
    <ext xmlns:r="http://schemas.openxmlformats.org/officeDocument/2006/relationships" uri="GoogleSheetsCustomDataVersion2">
      <go:sheetsCustomData xmlns:go="http://customooxmlschemas.google.com/" r:id="rId1" roundtripDataSignature="AMtx7miLE2OIgK9N9+36mBYdAHU6InQBhg=="/>
    </ext>
  </extLst>
</comments>
</file>

<file path=xl/sharedStrings.xml><?xml version="1.0" encoding="utf-8"?>
<sst xmlns="http://schemas.openxmlformats.org/spreadsheetml/2006/main" count="2062" uniqueCount="1311">
  <si>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</si>
  <si>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</si>
  <si>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</si>
  <si>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</si>
  <si>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</si>
  <si>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</si>
  <si>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</si>
  <si>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</si>
  <si>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</si>
  <si>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</si>
  <si>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</si>
  <si>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</si>
  <si>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</si>
  <si>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</si>
  <si>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Test Case Steps</t>
  </si>
  <si>
    <t>TEST CASE LIST</t>
  </si>
  <si>
    <t>Test Environment Setup Description</t>
  </si>
  <si>
    <t>No</t>
  </si>
  <si>
    <t>Function Name</t>
  </si>
  <si>
    <t>Sheet Name</t>
  </si>
  <si>
    <t>Description</t>
  </si>
  <si>
    <t>Pre-Condition</t>
  </si>
  <si>
    <t>Back to TestReport</t>
  </si>
  <si>
    <t>Total</t>
  </si>
  <si>
    <t>Module Code</t>
  </si>
  <si>
    <t>Pass</t>
  </si>
  <si>
    <t>Tester</t>
  </si>
  <si>
    <t>Fail</t>
  </si>
  <si>
    <t>Untest</t>
  </si>
  <si>
    <t xml:space="preserve">Percent Complete: </t>
  </si>
  <si>
    <t>N/A</t>
  </si>
  <si>
    <t>Test case ID</t>
  </si>
  <si>
    <t>Test Case Name</t>
  </si>
  <si>
    <t>Test Data</t>
  </si>
  <si>
    <t>Expected Output</t>
  </si>
  <si>
    <t>Bug ID</t>
  </si>
  <si>
    <t>Note</t>
  </si>
  <si>
    <t>Vu Vy Thanh</t>
  </si>
  <si>
    <t>TEST REPORT</t>
  </si>
  <si>
    <t>&lt;Date when this test report is created&gt;</t>
  </si>
  <si>
    <t>Notes</t>
  </si>
  <si>
    <t>&lt;List modules included in this release&gt; ex: Release 1 includes 2 modules: Module1 and Module2</t>
  </si>
  <si>
    <t>Module code</t>
  </si>
  <si>
    <t>Passed</t>
  </si>
  <si>
    <t>Failed</t>
  </si>
  <si>
    <t>Not Avaiable</t>
  </si>
  <si>
    <t>Number of  test cases</t>
  </si>
  <si>
    <t>Sub total</t>
  </si>
  <si>
    <t>Test coverage</t>
  </si>
  <si>
    <t>%</t>
  </si>
  <si>
    <t>Test successful coverage</t>
  </si>
  <si>
    <t>Website Quản lý đồ án tốt nghiệp</t>
  </si>
  <si>
    <t>ThanhVu</t>
  </si>
  <si>
    <t>•Trình duyệt: Chrome version 146.0.7680.76, Edge version 146.0.3856.59 
•Thiết bị: CPU Intel Core i7, RAM 32GB
•Hệ điều hành: Windows 11 Pro</t>
  </si>
  <si>
    <t>DA3</t>
  </si>
  <si>
    <t>Cập nhật thông tin cá nhân</t>
  </si>
  <si>
    <t>Đăng ký đề tài</t>
  </si>
  <si>
    <t>Đề xuất đề tài</t>
  </si>
  <si>
    <t>Xem trạng thái đăng ký đề tài</t>
  </si>
  <si>
    <t>Xem quy trình hướng dẫn</t>
  </si>
  <si>
    <t>Nộp báo cáo tuần</t>
  </si>
  <si>
    <t>Nộp báo cáo cuối</t>
  </si>
  <si>
    <t>Xem thông tin hội đồng bảo vệ</t>
  </si>
  <si>
    <t>Đăng nhập</t>
  </si>
  <si>
    <t>Actual Result</t>
  </si>
  <si>
    <t>Đăng ký ĐT</t>
  </si>
  <si>
    <t>Đề xuất ĐT</t>
  </si>
  <si>
    <t>Xem trạng thái đăng ký ĐT</t>
  </si>
  <si>
    <t>TC-S01-01</t>
  </si>
  <si>
    <t>Load form thông tin cá nhân</t>
  </si>
  <si>
    <t>-</t>
  </si>
  <si>
    <t>TC-S01-02</t>
  </si>
  <si>
    <t>TC-S01-03</t>
  </si>
  <si>
    <t>TC-S01-04</t>
  </si>
  <si>
    <t>TC-S01-05</t>
  </si>
  <si>
    <t>TC-S01-06</t>
  </si>
  <si>
    <t>TC-S01-07</t>
  </si>
  <si>
    <t>TC-S01-08</t>
  </si>
  <si>
    <t>TC-S01-09</t>
  </si>
  <si>
    <t>TC-S01-10</t>
  </si>
  <si>
    <t>TC-S01-11</t>
  </si>
  <si>
    <t>TC-S01-12</t>
  </si>
  <si>
    <t>TC-S01-13</t>
  </si>
  <si>
    <t>TC-S01-14</t>
  </si>
  <si>
    <t>TC-S01-15</t>
  </si>
  <si>
    <t>Functional TC</t>
  </si>
  <si>
    <t>UX/UI</t>
  </si>
  <si>
    <t>TC-S02-03</t>
  </si>
  <si>
    <t>TC-S02-04</t>
  </si>
  <si>
    <t>TC-S02-05</t>
  </si>
  <si>
    <t>TC-S02-06</t>
  </si>
  <si>
    <t>TC-S02-07</t>
  </si>
  <si>
    <t>TC-S02-08</t>
  </si>
  <si>
    <t>TC-S02-09</t>
  </si>
  <si>
    <t>TC-S02-10</t>
  </si>
  <si>
    <t>TC-S02-01</t>
  </si>
  <si>
    <t>TC-S02-02</t>
  </si>
  <si>
    <t>TC-S03-02</t>
  </si>
  <si>
    <t>TC-S03-03</t>
  </si>
  <si>
    <t>TC-S03-04</t>
  </si>
  <si>
    <t>TC-S03-05</t>
  </si>
  <si>
    <t>TC-S03-06</t>
  </si>
  <si>
    <t>TC-S03-07</t>
  </si>
  <si>
    <t>TC-S03-08</t>
  </si>
  <si>
    <t>TC-S03-09</t>
  </si>
  <si>
    <t>TC-S03-10</t>
  </si>
  <si>
    <t>TC-S03-11</t>
  </si>
  <si>
    <t>TC-S03-01</t>
  </si>
  <si>
    <t>A</t>
  </si>
  <si>
    <t>TC-S04-06</t>
  </si>
  <si>
    <t>TC-S04-07</t>
  </si>
  <si>
    <t>TC-S04-08</t>
  </si>
  <si>
    <t>TC-S04-09</t>
  </si>
  <si>
    <t>TC-S04-01</t>
  </si>
  <si>
    <t>TC-S04-02</t>
  </si>
  <si>
    <t>TC-S04-03</t>
  </si>
  <si>
    <t>TC-S04-04</t>
  </si>
  <si>
    <t>TC-S04-10</t>
  </si>
  <si>
    <t>TC-S11-01</t>
  </si>
  <si>
    <t>Load form login</t>
  </si>
  <si>
    <t>TC-S11-02</t>
  </si>
  <si>
    <t>Login thành công</t>
  </si>
  <si>
    <t>TC-S11-03</t>
  </si>
  <si>
    <t>TC-S11-04</t>
  </si>
  <si>
    <t>Password sai</t>
  </si>
  <si>
    <t>TC-S11-05</t>
  </si>
  <si>
    <t>TC-S11-06</t>
  </si>
  <si>
    <t>TC-S11-07</t>
  </si>
  <si>
    <t>TC-S11-08</t>
  </si>
  <si>
    <t>Password rỗng</t>
  </si>
  <si>
    <t>TC-S11-09</t>
  </si>
  <si>
    <t>TC-S11-10</t>
  </si>
  <si>
    <t>TC-S11-11</t>
  </si>
  <si>
    <t>Tài khoản: 10123295
Mật khẩu: 123456</t>
  </si>
  <si>
    <t>Báo lỗi "Tên đăng nhập không tồn tại"</t>
  </si>
  <si>
    <t>- Đăng nhập thành công
- Chuyển hướng sang Dashboard Trang chủ</t>
  </si>
  <si>
    <t>1. Nhập Mật khẩu 
2. Quan sát các ký tự ô Mật khẩu</t>
  </si>
  <si>
    <t>Báo lỗi "Mật khẩu không chính xác"</t>
  </si>
  <si>
    <t>Tài khoản: 10123295
Mật khẩu: 000000</t>
  </si>
  <si>
    <t>Tài khoản: 10123295
Mật khẩu: ""</t>
  </si>
  <si>
    <t>Nút Đăng nhập bị disable</t>
  </si>
  <si>
    <t>Tài khoản: ""
Mật khẩu: 123456</t>
  </si>
  <si>
    <t>Tài khoản: 10123295--
Mật khẩu: 123456</t>
  </si>
  <si>
    <t>Tài khoản: 10123295
Mật khẩu: 123456--</t>
  </si>
  <si>
    <t>Tài khoản: 10001000
Mật khẩu: 123456</t>
  </si>
  <si>
    <t>Hiển thị form Đăng nhập</t>
  </si>
  <si>
    <t>Không hiển thị nội dung cụ thể của mật khẩu</t>
  </si>
  <si>
    <t>Đã đăng nhập</t>
  </si>
  <si>
    <t>Đăng nhập bằng Enter</t>
  </si>
  <si>
    <t>Thứ tự Tab order</t>
  </si>
  <si>
    <t>Ẩn Password</t>
  </si>
  <si>
    <t>Tab đúng thứ tự từ trên xuống dưới: Tài khoản, Mật khẩu, Ghi nhớ mật khẩu, nút Đăng nhập</t>
  </si>
  <si>
    <t>1. Vào chức năng Thông tin sinh viên</t>
  </si>
  <si>
    <t>Tên sinh viên để trống</t>
  </si>
  <si>
    <t>TC-S11-12</t>
  </si>
  <si>
    <t>TC-S11-13</t>
  </si>
  <si>
    <t>TC-S11-14</t>
  </si>
  <si>
    <t>TC-S11-15</t>
  </si>
  <si>
    <t>Mất kết nối mạng</t>
  </si>
  <si>
    <t>- Báo lỗi "Không thể kết nối tới máy chủ"</t>
  </si>
  <si>
    <t>Exception</t>
  </si>
  <si>
    <t>Đăng nhập lại sau khi đổi mật khẩu</t>
  </si>
  <si>
    <t>Back sau khi Đăng nhập</t>
  </si>
  <si>
    <t xml:space="preserve">1. Sau khi đăng nhập, ấn nút Back </t>
  </si>
  <si>
    <t>TC-S11-16</t>
  </si>
  <si>
    <t>Xem thông tin HĐBV</t>
  </si>
  <si>
    <t>Báo lỗi độ dài username</t>
  </si>
  <si>
    <t>TC-S11-17</t>
  </si>
  <si>
    <t>TC-S11-18</t>
  </si>
  <si>
    <t>Username chỉ chứa khoảng trắng</t>
  </si>
  <si>
    <t>TC-S11-19</t>
  </si>
  <si>
    <t>Username chứa ký tự đặc biệt</t>
  </si>
  <si>
    <t>Báo lỗi format</t>
  </si>
  <si>
    <t>TC-S11-20</t>
  </si>
  <si>
    <t>TC-S11-21</t>
  </si>
  <si>
    <t>TC-S11-22</t>
  </si>
  <si>
    <t>TC-S11-23</t>
  </si>
  <si>
    <t>Password thiếu chữ hoa</t>
  </si>
  <si>
    <t>abc123@</t>
  </si>
  <si>
    <t>TC-S11-24</t>
  </si>
  <si>
    <t>Password thiếu chữ thường</t>
  </si>
  <si>
    <t>ABC123@</t>
  </si>
  <si>
    <t>TC-S11-25</t>
  </si>
  <si>
    <t>Password thiếu số</t>
  </si>
  <si>
    <t>Abcdef@</t>
  </si>
  <si>
    <t>TC-S11-26</t>
  </si>
  <si>
    <t>TC-S11-27</t>
  </si>
  <si>
    <t>TC-S11-28</t>
  </si>
  <si>
    <t>TC-S11-29</t>
  </si>
  <si>
    <t>TC-S11-36</t>
  </si>
  <si>
    <t>Server trả 500</t>
  </si>
  <si>
    <t>Hiển thị lỗi hệ thống</t>
  </si>
  <si>
    <t>API timeout</t>
  </si>
  <si>
    <t>Timeout message</t>
  </si>
  <si>
    <t>Focus mặc định username</t>
  </si>
  <si>
    <t>Cursor ở username</t>
  </si>
  <si>
    <t>Disable button khi invalid</t>
  </si>
  <si>
    <t>Hiển thị message lỗi đúng vị trí</t>
  </si>
  <si>
    <t>Message cạnh field</t>
  </si>
  <si>
    <t>Responsive UI</t>
  </si>
  <si>
    <t>UI không vỡ</t>
  </si>
  <si>
    <t>Hoạt động đúng</t>
  </si>
  <si>
    <t>TC-S11-30</t>
  </si>
  <si>
    <t>Tài khoản bị khóa</t>
  </si>
  <si>
    <t>TC-S11-31</t>
  </si>
  <si>
    <t>TC-S11-32</t>
  </si>
  <si>
    <t>Mật khẩu mặc định (lần đầu)</t>
  </si>
  <si>
    <t>Bắt buộc đổi mật khẩu</t>
  </si>
  <si>
    <t>TC-S11-33</t>
  </si>
  <si>
    <t>Không đổi password mặc định</t>
  </si>
  <si>
    <t>Không cho vào hệ thống</t>
  </si>
  <si>
    <t>TC-S11-34</t>
  </si>
  <si>
    <t>TC-S11-35</t>
  </si>
  <si>
    <t>Username để trống</t>
  </si>
  <si>
    <t>Username chứa ký tự trắng</t>
  </si>
  <si>
    <t>Username 4 ký tự</t>
  </si>
  <si>
    <t>Username 20 ký tự</t>
  </si>
  <si>
    <t>Password 250 ký tự</t>
  </si>
  <si>
    <t>Password &gt; 250 ký tự</t>
  </si>
  <si>
    <t>1. Nhập mật khẩu cũ
2. Nhập mật khẩu mới
3. Xác nhận mật khẩu mới</t>
  </si>
  <si>
    <t>Tài khoản không tồn tại</t>
  </si>
  <si>
    <t>Password chứa ký tự trắng ở cuối Password đúng</t>
  </si>
  <si>
    <t xml:space="preserve">Username chứa chữ </t>
  </si>
  <si>
    <t>1. Quan sát form Login</t>
  </si>
  <si>
    <t>1. Phóng to màn hình và quan sát
2. Thu nhỏ màn hình và quan sát</t>
  </si>
  <si>
    <t>1. Thực hiện đăng nhập trên Chrome và Edge</t>
  </si>
  <si>
    <t>Tương thích các trình duyệt</t>
  </si>
  <si>
    <t>TC-S04-15</t>
  </si>
  <si>
    <t>TC-S04-16</t>
  </si>
  <si>
    <t>TC-S04-17</t>
  </si>
  <si>
    <t>TC-S04-18</t>
  </si>
  <si>
    <t>TC-S04-19</t>
  </si>
  <si>
    <t>TC-S03-12</t>
  </si>
  <si>
    <t>TC-S03-13</t>
  </si>
  <si>
    <t>TC-S03-14</t>
  </si>
  <si>
    <t>TC-S03-15</t>
  </si>
  <si>
    <t>TC-S03-16</t>
  </si>
  <si>
    <t>TC-S03-17</t>
  </si>
  <si>
    <t>TC-S03-18</t>
  </si>
  <si>
    <t>TC-S03-19</t>
  </si>
  <si>
    <t>TC-S03-20</t>
  </si>
  <si>
    <t>TC-S03-21</t>
  </si>
  <si>
    <t>TC-S03-22</t>
  </si>
  <si>
    <t>TC-S03-24</t>
  </si>
  <si>
    <t>TC-S03-25</t>
  </si>
  <si>
    <t>TC-S03-27</t>
  </si>
  <si>
    <t>TC-S03-28</t>
  </si>
  <si>
    <t>TC-S03-29</t>
  </si>
  <si>
    <t>TC-S03-30</t>
  </si>
  <si>
    <t>TC-S03-31</t>
  </si>
  <si>
    <t>TC-S03-32</t>
  </si>
  <si>
    <t>TC-S03-33</t>
  </si>
  <si>
    <t>TC-S03-23</t>
  </si>
  <si>
    <t>TC-S03-26</t>
  </si>
  <si>
    <t>TC-S04-05</t>
  </si>
  <si>
    <t>TC-S04-11</t>
  </si>
  <si>
    <t>TC-S04-12</t>
  </si>
  <si>
    <t>TC-S04-13</t>
  </si>
  <si>
    <t>TC-S04-14</t>
  </si>
  <si>
    <t>TC-S04-20</t>
  </si>
  <si>
    <t>TC-S04-21</t>
  </si>
  <si>
    <t>TC-S04-22</t>
  </si>
  <si>
    <t>TC-S04-23</t>
  </si>
  <si>
    <t>TC-S04-24</t>
  </si>
  <si>
    <t>TC-S04-25</t>
  </si>
  <si>
    <t>TC-S04-26</t>
  </si>
  <si>
    <t>TC-S04-27</t>
  </si>
  <si>
    <t>TC-S04-28</t>
  </si>
  <si>
    <t>TC-S04-29</t>
  </si>
  <si>
    <t>TC-S02-11</t>
  </si>
  <si>
    <t>TC-S02-12</t>
  </si>
  <si>
    <t>TC-S02-13</t>
  </si>
  <si>
    <t>TC-S02-14</t>
  </si>
  <si>
    <t>TC-S02-15</t>
  </si>
  <si>
    <t>TC-S02-16</t>
  </si>
  <si>
    <t>TC-S02-17</t>
  </si>
  <si>
    <t>TC-S02-18</t>
  </si>
  <si>
    <t>TC-S02-19</t>
  </si>
  <si>
    <t>TC-S02-20</t>
  </si>
  <si>
    <t>TC-S02-21</t>
  </si>
  <si>
    <t>TC-S02-22</t>
  </si>
  <si>
    <t>TC-S02-23</t>
  </si>
  <si>
    <t>TC-S02-24</t>
  </si>
  <si>
    <t>TC-S02-25</t>
  </si>
  <si>
    <t>TC-S02-26</t>
  </si>
  <si>
    <t>TC-S02-27</t>
  </si>
  <si>
    <t>Cập nhật thành công toàn bộ thông tin</t>
  </si>
  <si>
    <t>Tên sinh viên chứa khoảng trắng đầu/cuối</t>
  </si>
  <si>
    <t>Ngày sinh là ngày tương lai</t>
  </si>
  <si>
    <t>SĐT chứa chữ cái</t>
  </si>
  <si>
    <t>SĐT chứa ký tự đặc biệt</t>
  </si>
  <si>
    <t>SĐT 10 số toàn khoảng trắng</t>
  </si>
  <si>
    <t>Email sai format – thiếu phần domain (.com)</t>
  </si>
  <si>
    <t>Email chứa ký tự đặc biệt ngoài @ và .</t>
  </si>
  <si>
    <t>Email có khoảng trắng ở đầu và cuối</t>
  </si>
  <si>
    <t>Email thiếu ký tự @</t>
  </si>
  <si>
    <t>Email thiếu dấu chấm (.)</t>
  </si>
  <si>
    <t>Email sai thứ tự: dấu chấm trước @</t>
  </si>
  <si>
    <t>Email chứa ký tự có dấu tiếng Việt</t>
  </si>
  <si>
    <t>Upload CV sai định dạng (.docx)</t>
  </si>
  <si>
    <t>Upload CV PDF vượt dung lượng (&gt;10MB)</t>
  </si>
  <si>
    <t>Không upload CV – vẫn lưu thành công</t>
  </si>
  <si>
    <t>TC-S01-16</t>
  </si>
  <si>
    <t>TC-S01-17</t>
  </si>
  <si>
    <t>TC-S01-18</t>
  </si>
  <si>
    <t>TC-S01-19</t>
  </si>
  <si>
    <t>TC-S01-20</t>
  </si>
  <si>
    <t>TC-S01-21</t>
  </si>
  <si>
    <t>TC-S01-22</t>
  </si>
  <si>
    <t>TC-S01-23</t>
  </si>
  <si>
    <t>TC-S01-24</t>
  </si>
  <si>
    <t>TC-S01-25</t>
  </si>
  <si>
    <t>TC-S01-26</t>
  </si>
  <si>
    <t>TC-S01-27</t>
  </si>
  <si>
    <t>Ngày sinh: 03/08/2005
Giới tính: Nữ
Sđt: 0363627792
Email: vuvythanh0308@gmail.com
CV: CV.pdf (&lt;10MB)</t>
  </si>
  <si>
    <t>Tên sinh viên: "  Vy Thanh  "</t>
  </si>
  <si>
    <t>Ngày sinh: 32/13/2025</t>
  </si>
  <si>
    <t>Ngày sinh: [ngày hiện tại]</t>
  </si>
  <si>
    <t>Hệ thống báo lỗi: "Ngày sinh phải nhỏ hơn ngày hiện tại"</t>
  </si>
  <si>
    <t>Ngày sinh: 01/01/2030</t>
  </si>
  <si>
    <t>Hệ thống báo lỗi: "Ngày sinh không hợp lệ"</t>
  </si>
  <si>
    <t>SĐT: 123456789</t>
  </si>
  <si>
    <t>SĐT: 12345678901</t>
  </si>
  <si>
    <t>Báo lỗi: "Số điện thoại không đúng định dạng"</t>
  </si>
  <si>
    <t>SĐT: 123abc4567</t>
  </si>
  <si>
    <t>Báo lỗi hoặc không cho nhập ký tự chữ vào field SĐT</t>
  </si>
  <si>
    <t>SĐT: 036-362-7792</t>
  </si>
  <si>
    <t>SĐT: "          " (10 spaces)</t>
  </si>
  <si>
    <t>Email: abc@gmail</t>
  </si>
  <si>
    <t>Báo lỗi: "Email không đúng định dạng"</t>
  </si>
  <si>
    <t>Email: abc#@gmail.com</t>
  </si>
  <si>
    <t>Email: " abc@gmail.com "</t>
  </si>
  <si>
    <t>Trim và lưu thành công HOẶC báo lỗi rõ ràng</t>
  </si>
  <si>
    <t>Email: abcgmail.com</t>
  </si>
  <si>
    <t>Email: abc@gmailcom</t>
  </si>
  <si>
    <t>Email: abc.@gmail.com hoặc .abc@gmail.com</t>
  </si>
  <si>
    <t>Email: thành@gmail.com</t>
  </si>
  <si>
    <t>File: CV.docx</t>
  </si>
  <si>
    <t>Báo lỗi: "Chỉ chấp nhận file PDF"</t>
  </si>
  <si>
    <t>File: CV_large.pdf, 15MB</t>
  </si>
  <si>
    <t>Báo lỗi: "File vượt quá dung lượng cho phép"</t>
  </si>
  <si>
    <t>File: CV_boundary.pdf, 10MB</t>
  </si>
  <si>
    <t>CV: null</t>
  </si>
  <si>
    <t>Email mới: newemail@gmail.com
CV: giữ nguyên</t>
  </si>
  <si>
    <t>Hiển thị dữ liệu hiện tại từ DB</t>
  </si>
  <si>
    <t>Thông báo thành công hiển thị sau khi lưu</t>
  </si>
  <si>
    <t>Message lỗi hiển thị rõ ràng khi nhập sai</t>
  </si>
  <si>
    <t>Dropdown Giới tính hiển thị đúng options</t>
  </si>
  <si>
    <t>TC-S01-28</t>
  </si>
  <si>
    <t>TC-S01-29</t>
  </si>
  <si>
    <t>TC-S01-30</t>
  </si>
  <si>
    <t>TC-S01-31</t>
  </si>
  <si>
    <t>TC-S01-32</t>
  </si>
  <si>
    <t>TC-S01-33</t>
  </si>
  <si>
    <t>- Load đúng form
- Hiển thị đầy đủ các field: Mã SV, Tên SV, Ngày sinh, Giới tính, SĐT, Email, CV</t>
  </si>
  <si>
    <t>Hiển thị đúng và đầy đủ dữ liệu hiện tại từ DB</t>
  </si>
  <si>
    <t>1. Điền thông tin hợp lệ
2. Ấn Lưu thông tin
3. Quan sát thông báo</t>
  </si>
  <si>
    <t>1. Nhập email sai format
2. Ấn Lưu thông tin
3. Quan sát message lỗi</t>
  </si>
  <si>
    <t>Tên sinh viên: ""</t>
  </si>
  <si>
    <t>Tên sinh viên chỉ nhập ký tự trắng</t>
  </si>
  <si>
    <t>Tên sinh viên: "              "</t>
  </si>
  <si>
    <t>SV A không thể xem/sửa thông tin SV B</t>
  </si>
  <si>
    <t xml:space="preserve">Ngày sinh là ngày hiện tại </t>
  </si>
  <si>
    <t xml:space="preserve">SĐT 11 số </t>
  </si>
  <si>
    <t xml:space="preserve">SĐT 9 số </t>
  </si>
  <si>
    <t xml:space="preserve">Ngày sinh sai định dạng </t>
  </si>
  <si>
    <t>Mất kết nối mạng trong quá trình cập nhật</t>
  </si>
  <si>
    <t>Hệ thống hiển thị lỗi</t>
  </si>
  <si>
    <t xml:space="preserve">Dropdown hiển thị: Nam, Nữ, Khác </t>
  </si>
  <si>
    <t>- Thông báo thành công
- Thông tin hiển thị trong các field</t>
  </si>
  <si>
    <t xml:space="preserve">Nút Lưu thông tin bị disable </t>
  </si>
  <si>
    <t>Trim khoảng trắng 
-Thông báo lưu thành công</t>
  </si>
  <si>
    <t>Không thể nhập giá trị không tồn tại</t>
  </si>
  <si>
    <t>- Báo lỗi: "Số điện thoại không đúng định dạng" 
- Nút Lưu disabled</t>
  </si>
  <si>
    <t xml:space="preserve">Upload thành công </t>
  </si>
  <si>
    <t xml:space="preserve">Lưu thành công, không báo lỗi </t>
  </si>
  <si>
    <t xml:space="preserve">Upload CV PDF đúng 10MB </t>
  </si>
  <si>
    <t>Trường Mã sinh viên bị disable</t>
  </si>
  <si>
    <t xml:space="preserve">Lưu thành công, CV cũ không bị xóa, Email cập nhật đúng </t>
  </si>
  <si>
    <t>1. SV A cập nhật thông tin thành công
2. Kiểm tra dữ liệu SV B trong DB</t>
  </si>
  <si>
    <t>Dữ liệu SV B không bị thay đổi</t>
  </si>
  <si>
    <t>TC-S05-01</t>
  </si>
  <si>
    <t>Xem quy trình hướng dẫn thành công</t>
  </si>
  <si>
    <t>TC-S05-02</t>
  </si>
  <si>
    <t>Danh sách tuần hiển thị không lặp, đúng thứ tự tăng dần</t>
  </si>
  <si>
    <t>TC-S05-03</t>
  </si>
  <si>
    <t>Quy trình hiển thị đúng theo chuyên ngành của SV</t>
  </si>
  <si>
    <t>TC-S05-04</t>
  </si>
  <si>
    <t>Quy trình hiển thị đúng theo đợt đồ án hiện tại</t>
  </si>
  <si>
    <t>TC-S05-05</t>
  </si>
  <si>
    <t>Không có dữ liệu quy trình cho ngành/đợt của SV</t>
  </si>
  <si>
    <t>TC-S05-06</t>
  </si>
  <si>
    <t>Đóng modal Chi tiết quy trình</t>
  </si>
  <si>
    <t>TC-S05-07</t>
  </si>
  <si>
    <t>TC-S05-08</t>
  </si>
  <si>
    <t>Bảng Chi tiết có đủ 5 cột theo đặc tả</t>
  </si>
  <si>
    <t>TC-S05-09</t>
  </si>
  <si>
    <t>Cột STT đánh số đúng thứ tự liên tục</t>
  </si>
  <si>
    <t>TC-S05-10</t>
  </si>
  <si>
    <t>Nội dung từng tuần hiển thị đầy đủ, không bị cắt</t>
  </si>
  <si>
    <t>TC-S05-11</t>
  </si>
  <si>
    <t>Tên GVHD hiển thị đúng với đề tài đã đăng ký</t>
  </si>
  <si>
    <t>TC-S05-12</t>
  </si>
  <si>
    <t>Tên đề tài hiển thị đúng với đề tài đã đăng ký</t>
  </si>
  <si>
    <t>TC-S05-13</t>
  </si>
  <si>
    <t>Nút Quy trình hướng dẫn hiển thị đúng vị trí</t>
  </si>
  <si>
    <t>TC-S05-14</t>
  </si>
  <si>
    <t>Modal Chi tiết quy trình mở đúng khi nhấn nút</t>
  </si>
  <si>
    <t>TC-S05-15</t>
  </si>
  <si>
    <t>Bảng quy trình có scroll khi dữ liệu dài</t>
  </si>
  <si>
    <t>TC-S05-16</t>
  </si>
  <si>
    <t>TC-S05-19</t>
  </si>
  <si>
    <t>Mất mạng khi tải quy trình</t>
  </si>
  <si>
    <t>TC-S05-20</t>
  </si>
  <si>
    <t>SV thuộc ngành chưa được cấu hình quy trình</t>
  </si>
  <si>
    <t>1. Vào Báo cáo kết quả ĐATN
2. Nhấn nút 'Quy trình hướng dẫn'
3. Quan sát modal Chi tiết quy trình</t>
  </si>
  <si>
    <t>1. Vào Báo cáo kết quả ĐATN
2. Nhấn 'Quy trình hướng dẫn'
3. Kiểm tra cột Tuần trong bảng</t>
  </si>
  <si>
    <t>- Cột Tuần không có giá trị trùng lặp
- Thứ tự: Tuần 1 → Tuần 2 → ... → Tuần N (tăng dần)</t>
  </si>
  <si>
    <t>1. Đăng nhập SV thuộc đợt đồ án hiện tại
2. Xem quy trình
3. Kiểm tra nội dung đúng đợt hiện tại</t>
  </si>
  <si>
    <t>1. Vào Báo cáo kết quả ĐATN
2. Nhấn 'Quy trình hướng dẫn'
3. Quan sát kết quả</t>
  </si>
  <si>
    <t>Hiển thị thông báo: 'Không tồn tại bản ghi nào.'</t>
  </si>
  <si>
    <t>1. Mở modal Chi tiết quy trình
2. Nhấn nút X hoặc click ra ngoài modal
3. Quan sát kết quả</t>
  </si>
  <si>
    <t>- Modal đóng lại
- Trang chính không thay đổi
- Không mất dữ liệu nào trên trang chính</t>
  </si>
  <si>
    <t>1. Mở modal Chi tiết quy trình
2. Kiểm tra header của bảng</t>
  </si>
  <si>
    <t>Bảng có đúng 5 cột theo thứ tự: STT | Tuần | Công việc | Nội dung | Kết quả</t>
  </si>
  <si>
    <t>1. Mở modal Chi tiết quy trình
2. Kiểm tra cột STT</t>
  </si>
  <si>
    <t>Cột STT: 1, 2, 3, ..., N – liên tục, không lặp, không nhảy số</t>
  </si>
  <si>
    <t>1. Mở modal Chi tiết quy trình
2. Kiểm tra các ô có nội dung dài</t>
  </si>
  <si>
    <t>1. Vào Báo cáo kết quả ĐATN
2. Kiểm tra Tên giảng viên hiển thị trên trang</t>
  </si>
  <si>
    <t>1. Vào Báo cáo kết quả ĐATN
2. Kiểm tra Tên đề tài hiển thị trên trang</t>
  </si>
  <si>
    <t>Tên đề tài hiển thị đúng khớp với đề tài đã được duyệt</t>
  </si>
  <si>
    <t>1. Vào Báo cáo kết quả ĐATN
2. Quan sát giao diện</t>
  </si>
  <si>
    <t>Nút 'Quy trình hướng dẫn' hiển thị rõ ràng, đúng vị trí trên trang</t>
  </si>
  <si>
    <t>1. Nhấn nút 'Quy trình hướng dẫn'
2. Quan sát modal</t>
  </si>
  <si>
    <t>Modal mở ra đúng, hiển thị overlay, không bị vỡ layout</t>
  </si>
  <si>
    <t>1. Mở modal Chi tiết quy trình
2. Quan sát khả năng scroll</t>
  </si>
  <si>
    <t>Bảng có thể scroll, không bị tràn ra ngoài modal, không che mất nút đóng</t>
  </si>
  <si>
    <t>1. Mở modal Chi tiết quy trình</t>
  </si>
  <si>
    <t>Hiển thị thông báo 'Không tồn tại bản ghi nào.' đúng vị trí, rõ ràng, không hiển thị bảng trống</t>
  </si>
  <si>
    <t>1. Vào Báo cáo kết quả ĐATN
2. Tắt mạng
3. Nhấn 'Quy trình hướng dẫn'
4. Quan sát</t>
  </si>
  <si>
    <t>Hiển thị thông báo lỗi kết nối rõ ràng, không crash UI</t>
  </si>
  <si>
    <t>1. Vào Báo cáo kết quả ĐATN
2. Nhấn 'Quy trình hướng dẫn'
3. Quan sát</t>
  </si>
  <si>
    <t>TC-S05-17</t>
  </si>
  <si>
    <t>TC-S05-18</t>
  </si>
  <si>
    <t>Sinh viên chưa đăng ký đề tài</t>
  </si>
  <si>
    <t>SV chuyên ngành A không thấy quy trình chuyên ngành B</t>
  </si>
  <si>
    <t>Truy cập trang khi chưa đăng nhập</t>
  </si>
  <si>
    <t>Chưa đăng nhập</t>
  </si>
  <si>
    <t>1. Truy cập vào URL Báo cáo kết quả ĐATN khi chưa đăng nhập
2. Quan sát</t>
  </si>
  <si>
    <t>- Redirect về trang Đăng nhập
- Không hiển thị dữ liệu</t>
  </si>
  <si>
    <t>TC-S07-01</t>
  </si>
  <si>
    <t>Nộp báo cáo cuối thành công – PDF hợp lệ &lt; 30MB</t>
  </si>
  <si>
    <t>TC-S07-02</t>
  </si>
  <si>
    <t>TC-S07-03</t>
  </si>
  <si>
    <t>TC-S07-04</t>
  </si>
  <si>
    <t>TC-S07-05</t>
  </si>
  <si>
    <t>TC-S07-06</t>
  </si>
  <si>
    <t>TC-S07-07</t>
  </si>
  <si>
    <t>TC-S07-08</t>
  </si>
  <si>
    <t>TC-S07-09</t>
  </si>
  <si>
    <t>TC-S07-10</t>
  </si>
  <si>
    <t>SV chưa đăng ký đề tài không thể nộp báo cáo</t>
  </si>
  <si>
    <t>TC-S07-11</t>
  </si>
  <si>
    <t>Nộp báo cáo lần 2 – ghi đè báo cáo cũ</t>
  </si>
  <si>
    <t>TC-S07-12</t>
  </si>
  <si>
    <t>Trang hiển thị đúng Tên GVHD và Tên đề tài</t>
  </si>
  <si>
    <t>TC-S07-13</t>
  </si>
  <si>
    <t>Nút Lưu lại bị disable khi chưa chọn file</t>
  </si>
  <si>
    <t>TC-S07-14</t>
  </si>
  <si>
    <t>Hiển thị tên file đã chọn trước khi lưu</t>
  </si>
  <si>
    <t>TC-S07-15</t>
  </si>
  <si>
    <t>Thông báo thành công hiển thị rõ ràng sau khi lưu</t>
  </si>
  <si>
    <t>TC-S07-16</t>
  </si>
  <si>
    <t>Hiển thị thông tin báo cáo đã nộp sau khi lưu thành công</t>
  </si>
  <si>
    <t>TC-S07-18</t>
  </si>
  <si>
    <t>TC-S07-19</t>
  </si>
  <si>
    <t>Truy cập trang nộp báo cáo khi chưa đăng nhập</t>
  </si>
  <si>
    <t>Mất kết nối mạng trong khi đang upload file</t>
  </si>
  <si>
    <t>Người dùng refresh trang khi đang upload</t>
  </si>
  <si>
    <t>TC-S07-17</t>
  </si>
  <si>
    <t>TC-S07-20</t>
  </si>
  <si>
    <t>1. Vào Báo cáo kết quả làm ĐATN
2. Nhấn Chọn tệp → chọn file PDF hợp lệ
3. Nhấn Lưu lại
4. Quan sát kết quả</t>
  </si>
  <si>
    <t>File: BaoCaoCuoi.pdf
Dung lượng: 10MB</t>
  </si>
  <si>
    <t>- Thông báo nộp thành công
- File được lưu vào hệ thống
- Báo cáo được liên kết với đề tài của SV</t>
  </si>
  <si>
    <t>1. Chọn file PDF đúng 30MB
2. Nhấn Lưu lại
3. Quan sát kết quả</t>
  </si>
  <si>
    <t>File: Report_30MB.pdf
Dung lượng: 30MB</t>
  </si>
  <si>
    <t>1. Chọn file PDF &gt; 30MB
2. Nhấn Lưu lại
3. Quan sát kết quả</t>
  </si>
  <si>
    <t>File: Report_35MB.pdf
Dung lượng: 35MB</t>
  </si>
  <si>
    <t>1. Chọn file .docx
2. Nhấn Lưu lại
3. Quan sát kết quả</t>
  </si>
  <si>
    <t>File: BaoCao.docx</t>
  </si>
  <si>
    <t>1. Tạo file PDF rỗng 0 byte
2. Upload file
3. Nhấn Lưu lại</t>
  </si>
  <si>
    <t>File: Empty.pdf
Dung lượng: 0MB</t>
  </si>
  <si>
    <t>1. Vào Báo cáo kết quả làm ĐATN
2. Thử chọn file và Lưu lại</t>
  </si>
  <si>
    <t>1. Vào Báo cáo kết quả làm ĐATN
2. Chọn file PDF hợp lệ
3. Nhấn Lưu lại</t>
  </si>
  <si>
    <t>1. Chọn file PDF hợp lệ
2. Nhấn Lưu lại trong ngày deadline</t>
  </si>
  <si>
    <t>1. Vào Báo cáo kết quả làm ĐATN
2. Quan sát giao diện</t>
  </si>
  <si>
    <t>1. Chọn file PDF mới (BaoCao_v2.pdf)
2. Nhấn Lưu lại
3. Kiểm tra hệ thống</t>
  </si>
  <si>
    <t>File cũ: BaoCao_v1.pdf
File mới: BaoCao_v2.pdf</t>
  </si>
  <si>
    <t>1. Truy cập trực tiếp URL trang Báo cáo kết quả khi chưa login</t>
  </si>
  <si>
    <t>1. Vào Báo cáo kết quả làm ĐATN
2. Quan sát thông tin header</t>
  </si>
  <si>
    <t>Hiển thị đúng Tên giảng viên hướng dẫn và Tên đề tài của SV đó</t>
  </si>
  <si>
    <t>1. Vào Báo cáo kết quả làm ĐATN
2. Chưa chọn file nào
3. Quan sát nút Lưu lại</t>
  </si>
  <si>
    <t>Nút Lưu lại bị disabled, không thể click</t>
  </si>
  <si>
    <t>1. Nhấn Chọn tệp
2. Chọn file PDF hợp lệ
3. Quan sát UI trước khi nhấn Lưu</t>
  </si>
  <si>
    <t>1. Upload PDF hợp lệ
2. Nhấn Lưu lại
3. Quan sát thông báo</t>
  </si>
  <si>
    <t>Đã nộp báo cáo thành công</t>
  </si>
  <si>
    <t>1. Sau khi nộp thành công
2. Reload trang hoặc quan sát UI
3. Kiểm tra thông tin file đã nộp</t>
  </si>
  <si>
    <t>1. Chọn file PDF hợp lệ
2. Nhấn Lưu lại
3. Ngắt mạng giữa chừng khi đang upload
4. Quan sát kết quả</t>
  </si>
  <si>
    <t>1. Chuẩn bị file PDF bị corrupt
2. Upload file
3. Nhấn Lưu lại</t>
  </si>
  <si>
    <t>TC-S06-01</t>
  </si>
  <si>
    <t>Lưu báo cáo tuần thành công – có nội dung, không có link</t>
  </si>
  <si>
    <t>TC-S06-02</t>
  </si>
  <si>
    <t>Lưu báo cáo tuần thành công – có nội dung và link hợp lệ</t>
  </si>
  <si>
    <t>TC-S06-03</t>
  </si>
  <si>
    <t>TC-S06-04</t>
  </si>
  <si>
    <t>TC-S06-05</t>
  </si>
  <si>
    <t>TC-S06-06</t>
  </si>
  <si>
    <t>TC-S06-07</t>
  </si>
  <si>
    <t>TC-S06-08</t>
  </si>
  <si>
    <t>TC-S06-09</t>
  </si>
  <si>
    <t>TC-S06-10</t>
  </si>
  <si>
    <t>TC-S06-11</t>
  </si>
  <si>
    <t>Báo cáo tuần đúng tuần thuộc quy trình</t>
  </si>
  <si>
    <t>TC-S06-12</t>
  </si>
  <si>
    <t>TC-S06-13</t>
  </si>
  <si>
    <t>TC-S06-14</t>
  </si>
  <si>
    <t>Báo cáo của SV A không ảnh hưởng dữ liệu SV B</t>
  </si>
  <si>
    <t>Truy cập trang báo cáo tuần khi chưa đăng nhập</t>
  </si>
  <si>
    <t>TC-S06-15</t>
  </si>
  <si>
    <t>Bảng danh sách tuần hiển thị đầy đủ 7 cột đúng tên</t>
  </si>
  <si>
    <t>Danh sách tuần theo thứ tự tăng dần, không trùng</t>
  </si>
  <si>
    <t>TC-S06-18</t>
  </si>
  <si>
    <t>Nội dung đã lưu hiển thị đúng trong bảng sau khi lưu</t>
  </si>
  <si>
    <t>TC-S06-19</t>
  </si>
  <si>
    <t>Link đã lưu hiển thị đúng trong cột Đường dẫn</t>
  </si>
  <si>
    <t>TC-S06-20</t>
  </si>
  <si>
    <t>Thông báo lưu thành công hiển thị rõ ràng</t>
  </si>
  <si>
    <t>Mất kết nối mạng khi nhấn Lưu</t>
  </si>
  <si>
    <t>TC-S06-21</t>
  </si>
  <si>
    <t>TC-S06-22</t>
  </si>
  <si>
    <t>1. Nhập nội dung hợp lệ
2. Tắt mạng
3. Nhấn Lưu
4. Quan sát</t>
  </si>
  <si>
    <t>1. Vào Báo cáo kết quả làm ĐATN
2. Quan sát cột Tuần trong bảng</t>
  </si>
  <si>
    <t>Form nhập báo cáo mở ra, hiển thị field Nội dung và field Link</t>
  </si>
  <si>
    <t>Đã lưu báo cáo với link</t>
  </si>
  <si>
    <t>1. Điền nội dung hợp lệ
2. Nhấn Lưu
3. Quan sát thông báo</t>
  </si>
  <si>
    <t>1. Vào Báo cáo kết quả làm ĐATN
2. Quan sát tiêu đề bảng</t>
  </si>
  <si>
    <t>Bảng có đủ 7 cột: STT | Tuần | Nội dung thực hiện | Đường dẫn | Nhận xét | Điểm báo cáo tuần | Tác vụ</t>
  </si>
  <si>
    <t>- Lưu thành công
- Thông báo lưu thành công
- Dữ liệu hiển thị trong bảng danh sách tuần</t>
  </si>
  <si>
    <t>Nội dung: "Thiết kế database"
Link: https://drive.google.com/file/abc</t>
  </si>
  <si>
    <t>- Lưu thành công
- Link được lưu và hiển thị đúng trong cột Đường dẫn</t>
  </si>
  <si>
    <t>Nội dung: "Báo cáo tuần 3"
Link: http://example.com/report</t>
  </si>
  <si>
    <t>Lưu thành công, link được lưu đúng</t>
  </si>
  <si>
    <t>Link: https://drive.google.com/file/xyz</t>
  </si>
  <si>
    <t>Lưu thành công</t>
  </si>
  <si>
    <t>Link: drive.google.com/file/xyz</t>
  </si>
  <si>
    <t>Báo lỗi: "Link không đúng định dạng URL"
Yêu cầu nhập lại</t>
  </si>
  <si>
    <t>1. Nhấn Tác vụ tại Tuần X
2. Nhập link là text bình thường
3. Nhấn Lưu</t>
  </si>
  <si>
    <t>Link: "baocao tuan 3"</t>
  </si>
  <si>
    <t>Báo lỗi: "Link không đúng định dạng URL"</t>
  </si>
  <si>
    <t>1. Nhập link có khoảng trắng đầu cuối
2. Nhấn Lưu</t>
  </si>
  <si>
    <t>Link: " https://drive.google.com/file/abc "</t>
  </si>
  <si>
    <t>Nội dung cũ: "Phân tích yêu cầu"
Nội dung mới: "Phân tích và thiết kế"</t>
  </si>
  <si>
    <t>- Lưu thành công
- Nội dung mới ghi đè nội dung cũ
- Không tạo bản ghi trùng cho cùng tuần</t>
  </si>
  <si>
    <t>Đã đăng nhập
Đề tài đã được duyệt
Quy trình có Tuần 1 → 15</t>
  </si>
  <si>
    <t>1. Nhấn Tác vụ tại Tuần 3 (tuần cũ, đã khoá)
2. Thử nhập nội dung và Lưu</t>
  </si>
  <si>
    <t>Hệ thống từ chối
Thông báo không thể báo cáo tuần này
Nút Tác vụ bị disabled hoặc form không mở</t>
  </si>
  <si>
    <t>1. Vào Báo cáo kết quả làm ĐATN
2. Quan sát danh sách tuần</t>
  </si>
  <si>
    <t>Hiển thị: "Không tồn tại bản ghi nào." hoặc thông báo yêu cầu đăng ký đề tài</t>
  </si>
  <si>
    <t>1. Vào Báo cáo kết quả làm ĐATN
2. Quan sát danh sách</t>
  </si>
  <si>
    <t>Hiển thị: "Không tồn tại bản ghi nào."</t>
  </si>
  <si>
    <t>SV A và SV B đều đã đăng nhập và có đề tài</t>
  </si>
  <si>
    <t>1. SV A lưu báo cáo Tuần 3
2. Kiểm tra DB báo cáo Tuần 3 của SV B</t>
  </si>
  <si>
    <t>Báo cáo Tuần 3 của SV B không bị thay đổi</t>
  </si>
  <si>
    <t>Redirect về trang đăng nhập
Không hiển thị dữ liệu</t>
  </si>
  <si>
    <t>Tìm kiếm theo Tên giảng viên</t>
  </si>
  <si>
    <t>Tìm kiếm kết hợp Mã bộ môn + Tên giảng viên</t>
  </si>
  <si>
    <t>Tìm kiếm kết hợp Mã bộ môn + Tên đề tài</t>
  </si>
  <si>
    <t>Tìm kiếm kết hợp Tên giảng viên + Tên đề tài</t>
  </si>
  <si>
    <t>Tìm kiếm kết hợp filter không có kết quả khớp</t>
  </si>
  <si>
    <t>Mã bộ môn mặc định đúng ngành học của SV</t>
  </si>
  <si>
    <t>Dropdown Tên GV hiển thị đúng danh sách theo Mã bộ môn đã chọn</t>
  </si>
  <si>
    <t>GVHD hiển thị thông tin số SV đã đăng ký trong bảng</t>
  </si>
  <si>
    <t>GVHD đã đủ số SV tối đa – hiển thị đúng trong cột Số lượng</t>
  </si>
  <si>
    <t>Trạng thái "Chờ GV xác nhận" hiển thị đúng</t>
  </si>
  <si>
    <t>Trạng thái "Đã được duyệt" hiển thị đúng</t>
  </si>
  <si>
    <t>Trạng thái "Từ chối" – SV có thể đăng ký đề tài mới</t>
  </si>
  <si>
    <t>TC-S04-31</t>
  </si>
  <si>
    <t>Kết quả tìm kiếm không hiển thị đề tài của SV khác</t>
  </si>
  <si>
    <t>Load trang – hiển thị đủ các thành phần giao diện</t>
  </si>
  <si>
    <t>Bảng danh sách đề tài hiển thị đủ 9 cột đúng tên</t>
  </si>
  <si>
    <t>Cột Trạng thái hiển thị đúng label theo từng trạng thái</t>
  </si>
  <si>
    <t>SV chỉ thấy trạng thái đề tài của chính mình</t>
  </si>
  <si>
    <t>Mất kết nối mạng khi nhấn Tìm kiếm</t>
  </si>
  <si>
    <t>1. Điền thông tin tìm kiếm
2. Tắt mạng
3. Nhấn Tìm kiếm
4. Quan sát</t>
  </si>
  <si>
    <t>1. Tìm kiếm không nhập filter
2. Quan sát danh sách</t>
  </si>
  <si>
    <t>1. Truy cập trực tiếp URL trang Đăng ký đề tài khi chưa login</t>
  </si>
  <si>
    <t>1. Vào Đăng ký đề tài tốt nghiệp
2. Quan sát giao diện tổng thể</t>
  </si>
  <si>
    <t>1. Thực hiện tìm kiếm có kết quả
2. Quan sát tiêu đề bảng</t>
  </si>
  <si>
    <t>Bảng có đủ 9 cột: STT | Tên đề tài | Tên GV | Email | SĐT | Mô tả | Số SV đã ĐK GV này | Tác vụ | Trạng thái</t>
  </si>
  <si>
    <t>1. Tìm kiếm đề tài đã đăng ký
2. Quan sát cột Trạng thái</t>
  </si>
  <si>
    <t>1. Tìm kiếm đề tài
2. Quan sát cột Trạng thái</t>
  </si>
  <si>
    <t>1. Vào Đăng ký đề tài tốt nghiệp
2. Nhập một phần tên đề tài vào ô Tên đề tài
3. Nhấn Tìm kiếm
4. Quan sát kết quả</t>
  </si>
  <si>
    <t>- Hiển thị đúng các đề tài chứa chuỗi "Kiểm thử"
- Cột Trạng thái hiển thị đúng trạng thái hiện tại của đề tài SV đã đăng ký</t>
  </si>
  <si>
    <t>1. Nhập toàn bộ tên đề tài chính xác
2. Nhấn Tìm kiếm
3. Quan sát kết quả</t>
  </si>
  <si>
    <t>Hiển thị đúng 1 đề tài khớp toàn bộ tên</t>
  </si>
  <si>
    <t>Kết quả là giao của 3 tiêu chí – chỉ hiển thị đề tài thỏa cả 3 điều kiện</t>
  </si>
  <si>
    <t>Tên đề tài: "XYZXYZXYZ_không_tồn_tại"</t>
  </si>
  <si>
    <t>1. Bỏ trống Tên đề tài
2. Nhấn Tìm kiếm
3. Quan sát kết quả</t>
  </si>
  <si>
    <t>1. Nhập khoảng trắng vào ô Tên đề tài
2. Nhấn Tìm kiếm</t>
  </si>
  <si>
    <t>Tên đề tài: "     "</t>
  </si>
  <si>
    <t>1. Nhập chuỗi 250 ký tự vào Tên đề tài
2. Nhấn Tìm kiếm</t>
  </si>
  <si>
    <t>Tên đề tài: chuỗi 250 ký tự</t>
  </si>
  <si>
    <t>1. Nhập chuỗi 251 ký tự vào Tên đề tài
2. Quan sát</t>
  </si>
  <si>
    <t>Tên đề tài: chuỗi 251 ký tự</t>
  </si>
  <si>
    <t>1. Vào Đăng ký đề tài tốt nghiệp
2. Quan sát giá trị mặc định của dropdown Mã bộ môn</t>
  </si>
  <si>
    <t>1. Vào Đăng ký đề tài tốt nghiệp
2. Tìm kiếm đề tài đã đăng ký
3. Quan sát cột Trạng thái</t>
  </si>
  <si>
    <t>Cột Trạng thái hiển thị đúng label: "Chờ GV xác nhận"</t>
  </si>
  <si>
    <t>Cột Trạng thái hiển thị: "Đã được duyệt"
Không còn nút đăng ký lại</t>
  </si>
  <si>
    <t>1. Tìm kiếm đề tài bị từ chối
2. Quan sát Trạng thái và Tác vụ
3. Thử đăng ký đề tài mới</t>
  </si>
  <si>
    <t>1. Trước khi GV duyệt: xem trạng thái = "Chờ GV xác nhận"
2. GV duyệt đề tài
3. SV refresh trang hoặc chờ realtime update
4. Quan sát lại Trạng thái</t>
  </si>
  <si>
    <t>1. Vào Đăng ký đề tài tốt nghiệp
2. Quan sát giao diện</t>
  </si>
  <si>
    <t>Đề xuất thành công – đầy đủ thông tin bắt buộc, có file PDF</t>
  </si>
  <si>
    <t>Đề xuất thành công – không upload file (file là tùy chọn)</t>
  </si>
  <si>
    <t>Đề xuất thành công – Mô tả hợp lệ 500 ký tự</t>
  </si>
  <si>
    <t>Đề xuất của SV A không ảnh hưởng dữ liệu SV B</t>
  </si>
  <si>
    <t>Mất kết nối mạng khi nhấn Gửi đề xuất</t>
  </si>
  <si>
    <t>1. Điền đầy đủ thông tin hợp lệ
2. Tắt mạng
3. Nhấn Gửi đề xuất
4. Quan sát</t>
  </si>
  <si>
    <t>SV A và SV B đều có tài khoản hợp lệ</t>
  </si>
  <si>
    <t>1. SV A gửi đề xuất thành công
2. Kiểm tra dữ liệu đề xuất của SV B trong DB</t>
  </si>
  <si>
    <t>Dữ liệu đề xuất của SV B không bị thay đổi</t>
  </si>
  <si>
    <t>1. Truy cập trực tiếp URL trang Đề xuất đề tài
2. Quan sát kết quả</t>
  </si>
  <si>
    <t>Load form đề xuất – hiển thị đúng và đầy đủ</t>
  </si>
  <si>
    <t>Ngôn ngữ báo cáo có giá trị mặc định</t>
  </si>
  <si>
    <t>Thông báo thành công hiển thị rõ ràng sau khi gửi</t>
  </si>
  <si>
    <t>Thông báo lỗi hiển thị đúng vị trí – dưới field bị lỗi</t>
  </si>
  <si>
    <t>Nút Gửi đề xuất bị disabled khi form có lỗi</t>
  </si>
  <si>
    <t>UI không vỡ khi resize màn hình</t>
  </si>
  <si>
    <t>1. Vào chức năng Đề xuất đề tài
2. Quan sát giao diện</t>
  </si>
  <si>
    <t>1. Vào form Đề xuất đề tài
2. Quan sát trường Ngôn ngữ báo cáo</t>
  </si>
  <si>
    <t>1. Điền thông tin hợp lệ
2. Nhấn Gửi đề xuất
3. Quan sát thông báo</t>
  </si>
  <si>
    <t>1. Bỏ trống Tên đề tài
2. Nhấn Gửi đề xuất
3. Quan sát vị trí message lỗi</t>
  </si>
  <si>
    <t>1. Mở form Đề xuất đề tài
2. Không điền Tên đề tài
3. Quan sát nút Gửi đề xuất</t>
  </si>
  <si>
    <t>Nút Gửi đề xuất bị disabled, không thể click khi form chưa hợp lệ</t>
  </si>
  <si>
    <t>1. Mở form Đề xuất đề tài
2. Resize cửa sổ trình duyệt về chiều rộng nhỏ (tablet ~768px)
3. Quan sát layout</t>
  </si>
  <si>
    <t>- Form không bị vỡ layout
- Các field vẫn hiển thị đầy đủ và sử dụng được
- Không có element bị tràn/ẩn</t>
  </si>
  <si>
    <t>1. Vào chức năng Đề xuất đề tài
2. Nhập Tên đề tài hợp lệ
3. Chọn Ngôn ngữ báo cáo
4. Nhập Mô tả đề tài
5. Chọn GVHD còn slot
6. Upload file PDF hợp lệ
7. Nhấn Gửi đề xuất</t>
  </si>
  <si>
    <t>Tên ĐT: "Kiểm thử tự động website QLĐATN"
Ngôn ngữ: Tiếng Việt
Mô tả: "Nghiên cứu và áp dụng..."
GVHD: GV_A (còn slot)
File: MoTa.pdf (5MB)</t>
  </si>
  <si>
    <t>- Gửi đề xuất thành công
- Thông báo thành công
- Mã đề tài được sinh tự động
- Trạng thái: "Chờ GV xác nhận"</t>
  </si>
  <si>
    <t>1. Vào Đề xuất đề tài
2. Nhập đủ Tên đề tài, Mô tả, chọn GVHD
3. BỎ TRỐNG file mô tả
4. Nhấn Gửi đề xuất</t>
  </si>
  <si>
    <t>Tên ĐT: "Kiểm thử tự động"
Mô tả: "..."
GVHD: GV_A
File: null</t>
  </si>
  <si>
    <t>- Gửi thành công
- Không báo lỗi thiếu file
- Trạng thái: "Chờ GV xác nhận"</t>
  </si>
  <si>
    <t>1. Nhập Tên đề tài hợp lệ
2. Nhập Mô tả 500 ký tự
3. Chọn GVHD
4. Nhấn Gửi đề xuất</t>
  </si>
  <si>
    <t>Mô tả: chuỗi 500 ký tự hợp lệ</t>
  </si>
  <si>
    <t>Gửi thành công, mô tả được lưu đầy đủ</t>
  </si>
  <si>
    <t>1. Vào Đề xuất đề tài
2. Bỏ trống Tên đề tài
3. Điền đủ các trường còn lại
4. Nhấn Gửi đề xuất</t>
  </si>
  <si>
    <t>Nút Gửi bị disabled HOẶC
Báo lỗi: "Tên đề tài không được để trống"</t>
  </si>
  <si>
    <t>1. Nhập khoảng trắng vào Tên đề tài
2. Điền đủ các trường còn lại
3. Nhấn Gửi đề xuất</t>
  </si>
  <si>
    <t>Trim khoảng trắng, báo lỗi: "Tên đề tài không được để trống"</t>
  </si>
  <si>
    <t>1. Nhập chuỗi đúng 250 ký tự vào Tên đề tài
2. Điền đủ các trường còn lại
3. Nhấn Gửi đề xuất</t>
  </si>
  <si>
    <t>Hệ thống chấp nhận, gửi đề xuất thành công</t>
  </si>
  <si>
    <t>1. Nhập Tên đề tài hợp lệ
2. Bỏ trống Mô tả đề tài
3. Chọn GVHD
4. Nhấn Gửi đề xuất</t>
  </si>
  <si>
    <t>1. Nhập Mô tả 1001 ký tự
2. Nhấn Gửi đề xuất</t>
  </si>
  <si>
    <t>Mô tả: chuỗi 1001 ký tự</t>
  </si>
  <si>
    <t>1. Nhập Tên đề tài và Mô tả hợp lệ
2. Bỏ qua không chọn GVHD
3. Nhấn Gửi đề xuất</t>
  </si>
  <si>
    <t>1. Điền đầy đủ thông tin hợp lệ
2. Chọn GVHD = GV_B (đã đủ slot)
3. Nhấn Gửi đề xuất</t>
  </si>
  <si>
    <t>1. Điền đầy đủ thông tin
2. Upload file PDF &lt; dung lượng giới hạn
3. Nhấn Gửi đề xuất</t>
  </si>
  <si>
    <t>File: MoTaDeTai.pdf, 3MB</t>
  </si>
  <si>
    <t>Upload thành công, file được lưu và liên kết với đề tài</t>
  </si>
  <si>
    <t>File: MoTa.docx</t>
  </si>
  <si>
    <t>Báo lỗi: "Chỉ chấp nhận file định dạng PDF"</t>
  </si>
  <si>
    <t>1. Điền đầy đủ thông tin
2. Upload file PDF vượt dung lượng
3. Nhấn Gửi đề xuất</t>
  </si>
  <si>
    <t>Báo lỗi: "File vượt quá dung lượng cho phép"
Yêu cầu chọn lại file</t>
  </si>
  <si>
    <t>1. Điền đầy đủ thông tin
2. Thử chọn 2 file PDF cùng lúc
3. Quan sát</t>
  </si>
  <si>
    <t>File: MoTa1.pdf + MoTa2.pdf</t>
  </si>
  <si>
    <t>Hệ thống chỉ chấp nhận 1 file HOẶC báo lỗi: "Chỉ được upload 1 file"</t>
  </si>
  <si>
    <t>1. Điền đầy đủ thông tin
2. Upload file PDF bị corrupt
3. Nhấn Gửi đề xuất</t>
  </si>
  <si>
    <t>File: Corrupt.pdf (nội dung lỗi)</t>
  </si>
  <si>
    <t>Báo lỗi phù hợp, không lưu file lỗi</t>
  </si>
  <si>
    <t>1. Vào Đề xuất đề tài
2. Điền đầy đủ thông tin hợp lệ
3. Nhấn Gửi đề xuất</t>
  </si>
  <si>
    <t>Hệ thống từ chối
Thông báo: "Bạn đã có đề tài đang được xét duyệt"</t>
  </si>
  <si>
    <t>1. Vào Đề xuất đề tài
2. Điền đầy đủ thông tin
3. Nhấn Gửi đề xuất</t>
  </si>
  <si>
    <t>- Hệ thống cho phép đề xuất đề tài mới
- Gửi thành công
- Trạng thái mới: "Chờ GV xác nhận"</t>
  </si>
  <si>
    <t>1. Vào Đề xuất đề tài
2. Điền thông tin và Gửi</t>
  </si>
  <si>
    <t>1. Bỏ trống Tên đề tài
2. Không chọn GVHD
3. Nhập Mô tả hợp lệ
4. Nhấn Gửi đề xuất</t>
  </si>
  <si>
    <t>Mô tả: rỗng
File: null</t>
  </si>
  <si>
    <t>1. Điền đầy đủ thông tin hợp lệ
2. Click nút Gửi đề xuất 2 lần liên tiếp nhanh
3. Kiểm tra DB</t>
  </si>
  <si>
    <t>1. Điền đầy đủ thông tin
2. Nhấn Gửi đề xuất
3. Ngay lập tức nhấn F5 (refresh)
4. Kiểm tra DB</t>
  </si>
  <si>
    <t>Tìm kiếm đề tài theo từ khóa – partial match</t>
  </si>
  <si>
    <t>Tìm kiếm đề tài theo tên đầy đủ – full match</t>
  </si>
  <si>
    <t>Bảng đề tài hiển thị đủ 9 cột đúng tên</t>
  </si>
  <si>
    <t>Nút Đăng ký đề tài hiển thị đúng cho đề tài còn slot</t>
  </si>
  <si>
    <t>Thông báo đăng ký thành công hiển thị rõ ràng</t>
  </si>
  <si>
    <t>Load trang Đăng ký đề tài – hiển thị đầy đủ thành phần</t>
  </si>
  <si>
    <t>Mất kết nối mạng khi click Đăng ký đề tài</t>
  </si>
  <si>
    <t>1. Truy cập trực tiếp URL trang Đăng ký đề tài
2. Quan sát</t>
  </si>
  <si>
    <t>Đã đăng nhập
Có kết quả tìm kiếm đề tài</t>
  </si>
  <si>
    <t>Đã đăng nhập
Có đề tài còn slot</t>
  </si>
  <si>
    <t>Đã đăng nhập
Vào trang Đăng ký đề tài</t>
  </si>
  <si>
    <t>1. Click vào dropdown Tên giảng viên
2. Quan sát danh sách</t>
  </si>
  <si>
    <t>1. Đăng ký đề tài hợp lệ thành công
2. Quan sát thông báo</t>
  </si>
  <si>
    <t>1. Vào chức năng Đăng ký đề tài ĐATN
2. Quan sát giao diện tổng thể</t>
  </si>
  <si>
    <t>1. Vào Đăng ký đề tài
2. Nhập từ khóa vào ô Tên đề tài
3. Nhấn Tìm kiếm
4. Quan sát danh sách</t>
  </si>
  <si>
    <t>Từ khóa: "AI"</t>
  </si>
  <si>
    <t>1. Nhập chính xác tên đề tài vào ô Tìm kiếm
2. Nhấn Tìm kiếm</t>
  </si>
  <si>
    <t>Trả về đúng 1 đề tài khớp tên đầy đủ</t>
  </si>
  <si>
    <t>1. Nhập tên đề tài không tồn tại
2. Nhấn Tìm kiếm</t>
  </si>
  <si>
    <t>Tên đề tài: "XYZXYZ_không_tồn_tại"</t>
  </si>
  <si>
    <t>1. Nhập chuỗi 250 ký tự vào ô Tên đề tài
2. Nhấn Tìm kiếm</t>
  </si>
  <si>
    <t>1. Nhập chuỗi 251 ký tự vào ô Tên đề tài
2. Quan sát</t>
  </si>
  <si>
    <t>1. Vào Đăng ký đề tài
2. Quan sát giá trị mặc định của dropdown Mã bộ môn</t>
  </si>
  <si>
    <t>TC-S02-28</t>
  </si>
  <si>
    <t>TC-S02-29</t>
  </si>
  <si>
    <t>TC-S02-30</t>
  </si>
  <si>
    <t>TC-S02-31</t>
  </si>
  <si>
    <t>TC-S02-32</t>
  </si>
  <si>
    <t>TC-S02-33</t>
  </si>
  <si>
    <t>TC-S02-34</t>
  </si>
  <si>
    <t>TC-S04-30</t>
  </si>
  <si>
    <t>Chưa có dữ liệu tuần trong hệ thống</t>
  </si>
  <si>
    <t>Nhấn Tác vụ cuộn lên form nhập báo cáo</t>
  </si>
  <si>
    <t>1. Vào Báo cáo kết quả làm ĐATN
2. Nhấn Tác vụ tại Tuần 4
3. Nhập Nội dung báo cáo
4. Bỏ trống Link
5. Nhấn Lưu</t>
  </si>
  <si>
    <t>1. Vào Báo cáo kết quả làm ĐATN
2. Nhấn Tác vụ tại Tuần 5
3. Nhập Nội dung
4. Nhập Link hợp lệ
5. Nhấn Lưu</t>
  </si>
  <si>
    <t>1. Nhấn Tác vụ tại Tuần 4
2. Nhập nội dung và link
3. Nhấn Lưu</t>
  </si>
  <si>
    <t>1. Nhấn Tác vụ tại Tuần 6
2. Nhập nội dung và link https
3. Nhấn Lưu</t>
  </si>
  <si>
    <t>1. Nhấn Tác vụ tại Tuần 3
2. Nhập link không có http
3. Nhấn Lưu</t>
  </si>
  <si>
    <t>URL: http://14.241.80.87:9993/graduation/graduation-student-report-ref</t>
  </si>
  <si>
    <t>Tên đề tài: ""</t>
  </si>
  <si>
    <t>URL: http://14.241.80.87:9993/graduation/graduation-student-register-project-topic</t>
  </si>
  <si>
    <t>Sửa Mã sinh viên</t>
  </si>
  <si>
    <t xml:space="preserve">Cập nhật chỉ thông tin (không upload CV) </t>
  </si>
  <si>
    <t>Mô tả: ""</t>
  </si>
  <si>
    <t>Tên ĐT: ""</t>
  </si>
  <si>
    <t>File: MoTa_large.pdf, 31MB</t>
  </si>
  <si>
    <t>M</t>
  </si>
  <si>
    <t xml:space="preserve">Tên đề tài chỉ chứa khoảng trắng </t>
  </si>
  <si>
    <t xml:space="preserve">Input tên đề tài 251 ký tự </t>
  </si>
  <si>
    <t xml:space="preserve">Input tên đề tài đúng 250 ký tự </t>
  </si>
  <si>
    <t xml:space="preserve">Filter không khớp kết quả nào </t>
  </si>
  <si>
    <t xml:space="preserve">Đề tài còn đúng 1 slot cuối </t>
  </si>
  <si>
    <t xml:space="preserve">Tìm kiếm đúng tên đề tài đã đầy </t>
  </si>
  <si>
    <t xml:space="preserve">Truy cập trang Đăng ký đề tài khi chưa đăng nhập </t>
  </si>
  <si>
    <t xml:space="preserve">Tên đề tài để trống </t>
  </si>
  <si>
    <t>- Danh sách đề tài trống
- Hiển thị thông báo: "Giảng viên chưa có đề tài"</t>
  </si>
  <si>
    <t>- Đã đăng nhập
- Đề tài/đề xuất trước đó bị từ chối
- Trong thời gian đăng ký</t>
  </si>
  <si>
    <t xml:space="preserve">Ngoài thời gian cho phép đăng ký </t>
  </si>
  <si>
    <t>- Đã đăng nhập
- Sinh viên chưa đăng ký / đề xuất đề tài
- Đang trong thời gian cho phép đăng ký</t>
  </si>
  <si>
    <t xml:space="preserve">- Đã đăng nhập
- Sinh viên chưa đăng ký / đề xuất đề tài
- Đang trong thời gian cho phép đăng ký
</t>
  </si>
  <si>
    <t>Sinh viên đã đăng ký đề tài trước đó</t>
  </si>
  <si>
    <t>- Đã đăng nhập
- Sinh viên đã đăng ký (đang chờ duyệt)
- Đang trong thời gian cho phép đăng ký</t>
  </si>
  <si>
    <t xml:space="preserve">Sinh viên đã đề xuất đề tài </t>
  </si>
  <si>
    <t>- Đã đăng nhập
- Sinh viên đã đề xuất đề tài (đang chờ duyệt)
- Trong thời gian đăng ký</t>
  </si>
  <si>
    <t xml:space="preserve">Sinh viên bị từ chối trước đó </t>
  </si>
  <si>
    <t>- Đã đăng nhập
- Sinh viên chưa có đề tài
- Đã hết thời hạn đăng ký</t>
  </si>
  <si>
    <t>Đã đăng nhập
Sinh viên chưa đăng ký / đề xuất đề tài
Đang trong thời gian cho phép đăng ký</t>
  </si>
  <si>
    <t>Dropdown Mã bộ môn mặc định đúng ngành của Sinh viên</t>
  </si>
  <si>
    <t>- Đã đăng nhập
- Sinh viên thuộc ngành CNTT</t>
  </si>
  <si>
    <t>2 Sinh viên đăng ký cùng 1 đề tài cuối slot cùng lúc</t>
  </si>
  <si>
    <t>Sinh viên A và Sinh viên B cùng đăng nhập</t>
  </si>
  <si>
    <t>Đăng ký Sinh viên A không ảnh hưởng slot của đề tài khác</t>
  </si>
  <si>
    <t xml:space="preserve">Đề tài đã có sinh viên đăng ký đầy </t>
  </si>
  <si>
    <t xml:space="preserve">Đăng ký đề tài thành công </t>
  </si>
  <si>
    <t>Báo lỗi "Tài khoản đã bị khóa"</t>
  </si>
  <si>
    <t>1. Vào chức năng Đăng ký đề tài ĐATN
2. Chọn Mã bộ môn
3. Chọn Tên giảng viên
4. Hệ thống hiển thị danh sách đề tài
5. Chọn 1 đề tài còn slot
6. Nhấn nút Đăng ký đề tài
7. Quan sát kết quả</t>
  </si>
  <si>
    <t>1. Vào Đăng ký đề tài
2. Chọn Giảng viên chưa có đề tài
3. Quan sát danh sách đề tài</t>
  </si>
  <si>
    <t>1. Chọn Giảng viên Nguyễn Văn Đ (còn 1 slot)
2. Chọn đề tài còn slot
3. Nhấn Đăng ký đề tài</t>
  </si>
  <si>
    <t>1. Vào Đăng ký đề tài
2. Chọn Giảng viên Nguyễn Văn Đ (đã đủ số lượng)
3. Quan sát</t>
  </si>
  <si>
    <t xml:space="preserve">Hiển thị thông báo cập nhật thành công </t>
  </si>
  <si>
    <t>Message lỗi hiển thị đúng vị trí , nội dung rõ ràng, dễ hiểu</t>
  </si>
  <si>
    <t>- Hiển thị: "Không tồn tại bản ghi nào."
- Đề tài đầy không lộ ra qua tìm kiếm</t>
  </si>
  <si>
    <t>- Hệ thống từ chối
- Thông báo: "Đợt đăng ký đề tài đã kết thúc"</t>
  </si>
  <si>
    <t>- Hiển thị tất cả đề tài có chứa "AI" trong tên (còn slot)
- Không hiển thị đề tài đã đầy</t>
  </si>
  <si>
    <t>- Không báo lỗi
- Hiển thị kết quả tìm kiếm</t>
  </si>
  <si>
    <t>Báo lỗi "Tên đề tài không vượt quá 250 ký tự "</t>
  </si>
  <si>
    <t>- Thông báo thành công
- Trạng thái: "Chờ Tên giảng viên xác nhận"
- Số sinh viên đã đăng ký Tên giảng viên tăng thêm 1</t>
  </si>
  <si>
    <t xml:space="preserve">Tên giảng viên được chọn chưa có đề tài nào </t>
  </si>
  <si>
    <t xml:space="preserve">Tên giảng viên còn đúng 1 slot cuối </t>
  </si>
  <si>
    <t>Tên giảng viên đã đủ số sinh viên tối đa</t>
  </si>
  <si>
    <t>- Thông báo thành công
- Trạng thái: "Chờ Tên giảng viên xác nhận"</t>
  </si>
  <si>
    <t>1. Vào Đăng ký đề tài
2. Chọn Tên giảng viên, chọn đề tài khác
3. Nhấn Đăng ký đề tài</t>
  </si>
  <si>
    <t>1. Vào Đăng ký đề tài
2. Chọn Tên giảng viên, chọn đề tài
3. Nhấn Đăng ký đề tài</t>
  </si>
  <si>
    <t>1. Vào Đăng ký đề tài
2. Chọn Tên giảng viên, chọn đề tài còn slot
3. Nhấn Đăng ký đề tài</t>
  </si>
  <si>
    <t>Hiển thị tất cả đề tài còn slot theo Mã bộ môn và Tên giảng viên đã chọn</t>
  </si>
  <si>
    <t>Số Sinh viên đã đăng ký Tên giảng viên tăng đúng 1 sau khi đăng ký thành công</t>
  </si>
  <si>
    <t>1. Chọn Tên giảng viên có đề tài
2. Quan sát tiêu đề bảng danh sách đề tài</t>
  </si>
  <si>
    <t>Bảng hiển thị đủ 9 cột:
STT | Tên đề tài | Tên Tên giảng viên | Email | SĐT | Mô tả | Số Sinh viên đã ĐK Tên giảng viên này | Tác vụ | Đăng ký đề tài</t>
  </si>
  <si>
    <t>1. Chọn Tên giảng viên có đề tài còn slot
2. Quan sát cột Tác vụ / Đăng ký đề tài</t>
  </si>
  <si>
    <t>Thông tin Tên giảng viên trong bảng hiển thị đầy đủ (Email, SĐT)</t>
  </si>
  <si>
    <t>Đã đăng nhập
Chọn Tên giảng viên có đề tài</t>
  </si>
  <si>
    <t>1. Chọn Tên giảng viên
2. Quan sát các cột Email và SĐT trong bảng</t>
  </si>
  <si>
    <t>Load danh sách Tên giảng viên từ dropdown</t>
  </si>
  <si>
    <t>Dropdown Tên giảng viên chỉ hiển thị Tên giảng viên thuộc bộ môn đang chọn</t>
  </si>
  <si>
    <t>1. Chọn Mã bộ môn = CNTT
2. Mở dropdown Tên Tên giảng viên
3. Quan sát danh sách</t>
  </si>
  <si>
    <t>1. Đổi Mã bộ môn từ CNTT sang CNPM
2. Quan sát dropdown Tên giảng viên</t>
  </si>
  <si>
    <t>1. Chọn Tên giảng viên và đề tài hợp lệ
2. Tắt mạng
3. Nhấn Đăng ký đề tài
4. Quan sát</t>
  </si>
  <si>
    <t>1. Chọn Tên giảng viên và đề tài hợp lệ
2. Mock server trả về 500
3. Nhấn Đăng ký đề tài</t>
  </si>
  <si>
    <t xml:space="preserve">1. Bỏ trống ô Tên đề tài
2. Nhấn Tìm kiếm </t>
  </si>
  <si>
    <t>- Dropdown Mã Mã bộ môn tự động chọn CNTT
- Không cần Sinh viên tự chọn</t>
  </si>
  <si>
    <t>- Redirect về trang đăng nhập
- Không hiển thị dữ liệu đề tài</t>
  </si>
  <si>
    <t>Nút Đăng ký đề tài hiển thị</t>
  </si>
  <si>
    <t>- Thông báo thành công
- Số sinh viên của Giảng viên Nguyễn Văn Đ tăng lên 7
- Giảng viên Nguyễn Văn Đ không còn cho đăng ký thêm</t>
  </si>
  <si>
    <t>Cột Email và SĐT hiển thị đúng thông tin của Giảng viên Nguyễn Văn Đ</t>
  </si>
  <si>
    <t>Đã đăng nhập
Giảng viên Nguyễn Văn Đ có 3 đề tài còn slot</t>
  </si>
  <si>
    <t>1. Chọn Giảng viên Nguyễn Văn Đ từ dropdown
2. Quan sát bảng đề tài</t>
  </si>
  <si>
    <t>- Danh sách Tên giảng viên load đúng
- Hiển thị đầy đủ tên Tên giảng viên thuộc Mã bộ môn đang chọn</t>
  </si>
  <si>
    <t>- Bảng chỉ hiển thị đề tài của Giảng viên Nguyễn Văn Đ
- Không lẫn đề tài của Tên giảng viên khác</t>
  </si>
  <si>
    <t>- Thông báo thành công hiển thị 
- Nội dung rõ ràng, trạng thái "Chờ Tên giảng viên xác nhận" được cập nhật</t>
  </si>
  <si>
    <t>- Đã đăng nhập
- Đang chọn Mã bộ môn = CNTT, Tên giảng viên = Giảng viên Nguyễn Văn Đ</t>
  </si>
  <si>
    <t>- Đã đăng nhập
- Có Tên giảng viên thuộc Mã bộ môn CNTT và Mã bộ môn CNPM</t>
  </si>
  <si>
    <t>- Chỉ đúng 1 sinh viên đăng ký thành công
- Sinh viên còn lại nhận thông báo từ chối</t>
  </si>
  <si>
    <t>1. Chọn Tên giảng viên có đề tài Mã đề tài Q1
2. Tìm kiếm / duyệt danh sách đề tài
3. Tìm đúng tên Mã đề tài Q1</t>
  </si>
  <si>
    <t>1. Nhập đúng tên Mã đề tài Q1 vào ô Tên đề tài
2. Nhấn Tìm kiếm
3. Quan sát kết quả</t>
  </si>
  <si>
    <t xml:space="preserve">Slot của Mã đề tài Q1 vẫn không thay đổi </t>
  </si>
  <si>
    <t>- Thông báo lỗi rõ ràng
- Đăng ký không được lưu vào DB
- Yêu cầu thử lại</t>
  </si>
  <si>
    <t>Danh sách đề tài của GVHD bị ẩn</t>
  </si>
  <si>
    <t>1. Chọn Tên giảng viên có đề tài Mã đề tài E1
2. Chọn Mã đề tài E1 
3. Nhấn Đăng ký đề tài</t>
  </si>
  <si>
    <t>- Hệ thống ẩn nút Đăng ký đề tài</t>
  </si>
  <si>
    <t>- Hệ thống cho phép đăng ký
- Đăng ký thành công
- Trạng thái mới: "Chờ Giảng viên xác nhận"</t>
  </si>
  <si>
    <t>Cột 'Số sinh viên đã đăng ký Tên giảng viên này' cập nhật thành 4</t>
  </si>
  <si>
    <t>- Dropdown hiển thị danh sách giảng viên thuộc ngành CNTT
- Không hiển thị bên KHMT</t>
  </si>
  <si>
    <t>Thông báo: "Đăng ký thất bại, vui lòng thử lại"</t>
  </si>
  <si>
    <t>Hiển thị đầy đủ:
- Dropdown Mã bộ môn 
- Dropdown Tên Tên giảng viên
- Input Tên đề tài
- Nút Tìm kiếm
- Bảng danh sách đề tài</t>
  </si>
  <si>
    <t xml:space="preserve">- Dropdown Tên giảng viên reload chỉ hiển thị giảng viên thuộc CNPM
- Giảng viên Nguyễn Văn Đ bị reset </t>
  </si>
  <si>
    <t>Tên đề tài: "Đề xuất mô hình đánh giá chất lượng phần mềm dựa trên ISO/IEC 25010 và dữ liệu kiểm thử thực nghiệm"</t>
  </si>
  <si>
    <t>- Redirect về trang đăng nhập
- Không hiển thị form</t>
  </si>
  <si>
    <t>Form hiển thị đầy đủ các trường:
- Tên đề tài 
- Ngôn ngữ báo cáo 
- Mô tả đề tài 
- Chọn GVHD 
- Upload file 
- Nút Gửi đề xuất</t>
  </si>
  <si>
    <t>- Thông báo thành công hiển thị
- Nội dung rõ ràng: xác nhận đã gửi đề xuất thành công</t>
  </si>
  <si>
    <t>- Message lỗi hiển thị ngay dưới field Tên đề tài
- Nội dung rõ ràng, không chỉ hiện toast chung chung</t>
  </si>
  <si>
    <t>- Thông báo lỗi 
- Đề tài không được lưu</t>
  </si>
  <si>
    <t xml:space="preserve">Tên đề tài đúng 250 ký tự </t>
  </si>
  <si>
    <t>Tên đề tài 251 ký tự</t>
  </si>
  <si>
    <t xml:space="preserve">Mô tả đề tài để trống </t>
  </si>
  <si>
    <t xml:space="preserve">Mô tả đề tài vượt 1000 ký tự </t>
  </si>
  <si>
    <t xml:space="preserve">Không chọn GVHD </t>
  </si>
  <si>
    <t>Báo lỗi: "Tên đề tài không được vượt quá 250 ký tự"</t>
  </si>
  <si>
    <t>Nút Đồng ý bị disabled</t>
  </si>
  <si>
    <t>Báo lỗi: "Mô tả không được vượt quá 1000 ký tự"</t>
  </si>
  <si>
    <t>Nút Đồng ý bị disable</t>
  </si>
  <si>
    <t xml:space="preserve">GVHD đã đủ số lượng SV </t>
  </si>
  <si>
    <t>Danh sách đề tài của GV bị ẩn</t>
  </si>
  <si>
    <t xml:space="preserve">Upload file PDF hợp lệ </t>
  </si>
  <si>
    <t xml:space="preserve">Upload file sai định dạng (.docx) </t>
  </si>
  <si>
    <t>1. Điền đầy đủ thông tin
2. Chọn file .docx</t>
  </si>
  <si>
    <t xml:space="preserve">Upload file PDF vượt dung lượng giới hạn </t>
  </si>
  <si>
    <t xml:space="preserve">Upload nhiều file cùng lúc </t>
  </si>
  <si>
    <t>Upload file PDF bị corrupt</t>
  </si>
  <si>
    <t xml:space="preserve">SV đã có đề tài đang chờ duyệt </t>
  </si>
  <si>
    <t xml:space="preserve">Ngoài thời gian cho phép đề xuất </t>
  </si>
  <si>
    <t xml:space="preserve">Đề tài cũ đã bị từ chối </t>
  </si>
  <si>
    <t xml:space="preserve">Thiếu Mô tả và thiếu file </t>
  </si>
  <si>
    <t xml:space="preserve">Submit nhiều lần </t>
  </si>
  <si>
    <t xml:space="preserve">Refresh trang khi đang submit </t>
  </si>
  <si>
    <t xml:space="preserve">Truy cập trang đề xuất khi chưa đăng nhập </t>
  </si>
  <si>
    <t xml:space="preserve">Thiếu cả Tên đề tài lẫn GVHD </t>
  </si>
  <si>
    <t>1. Nhập Tên đề tài hợp lệ
2. Chọn GVHD
3. Bỏ trống Mô tả
4. Không upload file
5. Nhấn Gửi đề xuất</t>
  </si>
  <si>
    <t>Hệ thống vẫn chấp nhận đề tài</t>
  </si>
  <si>
    <t>Hệ thống từ chối</t>
  </si>
  <si>
    <t xml:space="preserve">SV có đề tài đã được duyệt </t>
  </si>
  <si>
    <t>Hiển thị đồng thời 2 lỗi tương ứng:
- Lỗi Tên đề tài
- Lỗi GVHD</t>
  </si>
  <si>
    <t>- Hệ thống từ chối
- Thông báo phù hợp</t>
  </si>
  <si>
    <t>- Chỉ tạo 1 đề tài trong DB
- Nút Gửi disabled sau click đầu</t>
  </si>
  <si>
    <t>- Đã đăng nhập
- SV chưa có đề tài nào
- Đang trong thời gian cho phép đề xuất</t>
  </si>
  <si>
    <t>- Đã đăng nhập
- SV đã có đề tài ở trạng thái Chờ GV/TBM xác nhận
- Trong thời gian đề xuất</t>
  </si>
  <si>
    <t>- Đã đăng nhập
- SV chưa có đề tài
- Đã hết thời hạn đề xuất</t>
  </si>
  <si>
    <t>- Đã đăng nhập
- Đề tài trước đó đã bị GV/TBM từ chôis
- Trong thời gian đề xuất</t>
  </si>
  <si>
    <t>- Đã đăng nhập
- Đề tài đã được duyệt hoàn toàn</t>
  </si>
  <si>
    <t>1. Sinh viên A và Sinh viên B cùng mở trang đề tài
2. Cả 2 cùng nhấn Đăng ký đề tài gần như đồng thời</t>
  </si>
  <si>
    <t xml:space="preserve">1. Sinh viên đăng ký đề tài của Giảng viên Nguyễn Văn Đ thành công
2. Kiểm tra lại số Sinh viên của Giảng viên Nguyễn Văn Đ </t>
  </si>
  <si>
    <t>1. Sinh viên A đăng ký Mã đề tài E1</t>
  </si>
  <si>
    <t xml:space="preserve">Lỗi DB khi lưu đăng ký  </t>
  </si>
  <si>
    <t xml:space="preserve">Đổi Mã bộ môn </t>
  </si>
  <si>
    <t>Chọn Tên giảng viên</t>
  </si>
  <si>
    <t>- Đã đăng nhập
- SV chưa có đề tài</t>
  </si>
  <si>
    <t>- Đã đăng nhập
- Vừa mở form đề xuất</t>
  </si>
  <si>
    <t>- Đã đăng nhập
- Đã submit hợp lệ</t>
  </si>
  <si>
    <t>- Đã đăng nhập
- Form đang có trường bắt buộc rỗng</t>
  </si>
  <si>
    <t>- Đã đăng nhập
- Form đề xuất đang mở</t>
  </si>
  <si>
    <t>Ngôn ngữ mặc định chọn: Báo cáo tiếng Việt, bảo vệ tiếng Việt</t>
  </si>
  <si>
    <t>1 đề tài được lưu</t>
  </si>
  <si>
    <t xml:space="preserve">Truy cập trang khi chưa đăng nhập </t>
  </si>
  <si>
    <t xml:space="preserve">Tìm kiếm theo tên đề tài – partial match </t>
  </si>
  <si>
    <t>Tìm kiếm theo tên đề tài – full match</t>
  </si>
  <si>
    <t>Tên GV: Nguyễn Văn Đ</t>
  </si>
  <si>
    <t>1. Chọn Tên GV = "Nguyễn Văn Đ"
2. Nhập Tên đề tài = "Kiểm thử"
3. Nhấn Tìm kiếm</t>
  </si>
  <si>
    <t>Tên GV: Nguyễn Văn Đ
Tên đề tài: "Kiểm thử"</t>
  </si>
  <si>
    <t>Chỉ hiển thị đề tài chứa "Kiểm thử" của GV Nguyễn Văn Đ</t>
  </si>
  <si>
    <t>1. Chọn Tên giảng viên "Nguyễn Văn Đ" từ dropdown
2. Nhấn Tìm kiếm
3. Quan sát kết quả</t>
  </si>
  <si>
    <t>- Hiển thị tất cả đề tài của GV Nguyễn Văn Đ
- Trạng thái đề tài SV đã đăng ký hiển thị đúng</t>
  </si>
  <si>
    <t>- Đã đăng nhập
- SV đã đăng ký đề tài</t>
  </si>
  <si>
    <t>- Đã đăng nhập
- SV đã đăng ký đề tài
- Danh sách có GV "Nguyễn Văn Đ"</t>
  </si>
  <si>
    <t>- Đã đăng nhập
- SV đã đăng ký đề tài
- Danh sách có dữ liệu nhiều bộ môn, nhiều GV</t>
  </si>
  <si>
    <t>1. Nhập tên đề tài không tồn tại trong Danh sách
2. Nhấn Tìm kiếm
3. Quan sát kết quả</t>
  </si>
  <si>
    <t xml:space="preserve">Tên đề tài nhập đúng 250 ký tự </t>
  </si>
  <si>
    <t>Tên đề tài nhập 251 ký tự</t>
  </si>
  <si>
    <t xml:space="preserve">Trạng thái cập nhật đúng sau khi GV duyệt </t>
  </si>
  <si>
    <t xml:space="preserve">SV chưa đăng ký đề tài </t>
  </si>
  <si>
    <t>Hiển thị thông báo lỗi phù hợp</t>
  </si>
  <si>
    <t>- Redirect về trang đăng nhập
- Không hiển thị dữ liệu</t>
  </si>
  <si>
    <t>- Cột Trạng thái chỉ hiển thị trạng thái đề tài Mã Q1
- Đề tài mã E1 không có trạng thái đăng ký của SV khác</t>
  </si>
  <si>
    <t>- Nút Đăng ký hiển thị lại
- SV được phép đăng ký đề tài khác</t>
  </si>
  <si>
    <t>- Nút Đăng ký đề tài hiển thị
- SV có thể thực hiện đăng ký</t>
  </si>
  <si>
    <t>- Đã đăng nhập với tài khoản SV Phạm Thị Nhung
- SV Phạm Thị Nhung và SV Vũ Thị Thùy Dương đều có đề tài</t>
  </si>
  <si>
    <t>- Không hiển thị trạng thái đăng ký của SV Vũ Thị Thùy Dương
- Chỉ thấy trạng thái đề tài của SV Phạm Thị Nhung</t>
  </si>
  <si>
    <t>- Đã đăng nhập
- SV đã đăng ký đề tài có trạng thái cụ thể</t>
  </si>
  <si>
    <t>- Đã đăng nhập
- Có kết quả tìm kiếm</t>
  </si>
  <si>
    <t>- Đã đăng nhập
- SV vừa được GV duyệt đề tài</t>
  </si>
  <si>
    <t>- Đã đăng nhập
- SV chưa đăng ký đề tài</t>
  </si>
  <si>
    <t>- Đã đăng nhập SV Phạm Thị Nhung
- SV Phạm Thị Nhung có đề tài mã E1, SV Nguyễn Thị Mỹ Phượng có đề tài mã Q1</t>
  </si>
  <si>
    <t>Tìm kiếm kết hợp cả 3 tiêu chí: Mã bộ môn + GV + Tên đề tài</t>
  </si>
  <si>
    <t>1. Chọn Mã bộ môn không thuộc ngành SV
2. Nhập tên đề tài
3. Nhấn Tìm kiếm</t>
  </si>
  <si>
    <t>Mã bộ môn: KHMT
Tên đề tài: "Kiểm thử"</t>
  </si>
  <si>
    <t>Hiển thị đầy đủ:
- Dropdown Mã Mã bộ môn
- Dropdown Tên GV
- Input Tên đề tài
- Nút Tìm kiếm
- Bảng danh sách đề tài</t>
  </si>
  <si>
    <t>- Đã đăng nhập
- Danh sách có GV thuộc Mã bộ môn Công nghệ phần mềm và Mã bộ môn Công nghệ thông tin</t>
  </si>
  <si>
    <t>1. Chọn Mã bộ môn = Công nghệ phần mềm
2. Chọn Tên GV  "Nguyễn Văn Đ"
3. Nhấn Tìm kiếm</t>
  </si>
  <si>
    <t>Mã Mã bộ môn: Công nghệ phần mềm
Tên GV: Nguyễn Văn Đ</t>
  </si>
  <si>
    <t>- Chỉ hiển thị đề tài của GV Nguyễn Văn Đ thuộc Mã bộ môn Công nghệ phần mềm
- Không lẫn GV khác hoặc Mã bộ môn khác</t>
  </si>
  <si>
    <t>1. Chọn Mã Mã bộ môn = Công nghệ phần mềm
2. Nhập Tên đề tài = "Kiểm thử"
3. Nhấn Tìm kiếm</t>
  </si>
  <si>
    <t>Mã Mã bộ môn: Công nghệ phần mềm
Tên đề tài: "Kiểm thử"</t>
  </si>
  <si>
    <t>Chỉ hiển thị đề tài chứa "Kiểm thử" thuộc Mã bộ môn Công nghệ phần mềm</t>
  </si>
  <si>
    <t>1. Chọn Mã Mã bộ môn = Công nghệ phần mềm
2. Chọn Tên GV = "Nguyễn Văn Đ"
3. Nhập Tên đề tài = "Kiểm thử"
4. Nhấn Tìm kiếm</t>
  </si>
  <si>
    <t>Mã Mã bộ môn: Công nghệ phần mềm
Tên GV: Nguyễn Văn Đ
Tên đề tài: "Kiểm thử"</t>
  </si>
  <si>
    <t xml:space="preserve">- Đã đăng nhập
- SV thuộc ngành Công nghệ phần mềm </t>
  </si>
  <si>
    <t>- Dropdown Mã bộ môn tự động chọn Công nghệ phần mềm
- Không cần SV tự chọn</t>
  </si>
  <si>
    <t>- Đã đăng nhập
- Dropdown Mã bộ môn đang chọn Công nghệ phần mềm</t>
  </si>
  <si>
    <t>1. Đổi Mã bộ môn từ Công nghệ phần mềm sang Hệ thống thông tin
2. Quan sát dropdown GV</t>
  </si>
  <si>
    <t>Hệ thống hiển thị kết quả tìm kiếm</t>
  </si>
  <si>
    <t xml:space="preserve">Hệ thống hiển thị toàn bộ đề tài theo Mã bộ môn và GV đã chọn </t>
  </si>
  <si>
    <t>Dropdown GV reload và chỉ hiển thị GV thuộc Mã bộ môn Hệ thống thông tin</t>
  </si>
  <si>
    <t xml:space="preserve">Tìm kiếm không có kết quả khớp </t>
  </si>
  <si>
    <t>- Dropdown GV chỉ hiển thị danh sách Giảng viên ngành Công nghệ phần mềm
- Không hiển thị giảng viên ngành Hệ thống thông tin</t>
  </si>
  <si>
    <t>Giao diện hiển thị đúng</t>
  </si>
  <si>
    <t>- Cột Số lượng hiển thị đúng
- Nút đăng ký bị disabled hoặc ẩn</t>
  </si>
  <si>
    <t>Trạng thái cập nhật thành "Chờ TBM xác nhận" sau khi refresh</t>
  </si>
  <si>
    <t>- Đã đăng nhập
- SV đã đăng ký đề tài, GV chưa duyệt</t>
  </si>
  <si>
    <t>- Đã đăng nhập
- Giảng viên Nguyễn Văn Đ đã đủ số lượng SV đăng ký</t>
  </si>
  <si>
    <t>- Đã đăng nhập
- SV đã đăng ký, GV đã duyệt, TBM chưa duyệt</t>
  </si>
  <si>
    <t>- Đã đăng nhập
- Đề tài đã được GV và TBM duyệt</t>
  </si>
  <si>
    <t>- Đã đăng nhập
- Đề tài bị GV hoặc TBM từ chối</t>
  </si>
  <si>
    <t>Cột Trạng thái hiển thị đúng label: "Chờ TBM xác nhận"</t>
  </si>
  <si>
    <t>Trạng thái "Chờ TBM xác nhận" hiển thị đúng</t>
  </si>
  <si>
    <t>Label hiển thị đúng 1 trong 4:
"Chờ GV xác nhận" | "Chờ TBM xác nhận" | "Đã được duyệt" | "Từ chối"</t>
  </si>
  <si>
    <t xml:space="preserve">Báo lỗi: "Độ dài không quá 250 ký tự" </t>
  </si>
  <si>
    <t>1. Tìm kiếm đề tài của GIảng viên Nguyễn Văn Đ
2. Quan sát cột "Số lượng SV đã đăng ký GV này"</t>
  </si>
  <si>
    <t>- Đã đăng nhập
- GIảng viên Nguyễn Văn Đ có 3 SV đã đăng ký</t>
  </si>
  <si>
    <t>1. Chọn Mã bộ môn Công nghệ phần mềm
2. Mở dropdown Tên GV
3. Quan sát danh sách</t>
  </si>
  <si>
    <t>1. Tìm kiếm đề tài của GIảng viên Nguyễn Văn Đ
2. Quan sát cột Số lượng SV và cột Tác vụ</t>
  </si>
  <si>
    <t>- Đã đăng nhập
- SV có chuyên ngành Công nghệ phần mềm
- Hệ thống đã có dữ liệu quy trình cho đợt + ngành</t>
  </si>
  <si>
    <t>- Modal Chi tiết quy trình mở ra
- Bảng hiển thị đầy đủ cột: STT, Tuần, Công việc, Nội dung, Kết quả
- Dữ liệu đúng theo ngành Công nghệ phần mềm và đợt hiện tại</t>
  </si>
  <si>
    <t>1. Đăng nhập SV ngành Công nghệ phần mềm
2. Quan sát quy trình hiển thị</t>
  </si>
  <si>
    <t>- Đã đăng nhập
- Hệ thống có dữ liệu quy trình</t>
  </si>
  <si>
    <t>1. Đăng nhập SV ngành Công nghệ phần mềm
2. Xem quy trình → ghi nhận nội dung
3. Đăng xuất
4. Đăng nhập SV ngành Hệ thông thông tin
5. Xem quy trình → so sánh nội dung</t>
  </si>
  <si>
    <t>- Có 2 tài khoản SV: ngành Công nghệ phần mềm và ngành Hệ thông thông tin
- Mỗi ngành có quy trình riêng trong hệ thống</t>
  </si>
  <si>
    <t>- Đã đăng nhập
- Hệ thống chưa cấu hình quy trình cho ngành/đợt của SV</t>
  </si>
  <si>
    <t>- Đã đăng nhập
- Có dữ liệu quy trình nhiều hàng</t>
  </si>
  <si>
    <t>- Đã đăng nhập
- Có dữ liệu quy trình với nội dung dài</t>
  </si>
  <si>
    <t>- Đã đăng nhập
- SV đã có đề tài được duyệt với GVHD là 'Nguyễn Văn Đ'</t>
  </si>
  <si>
    <t>- Đã đăng nhập
- SV đã có đề tài được duyệt</t>
  </si>
  <si>
    <t>- Đã đăng nhập
- Modal Chi tiết quy trình đang mở</t>
  </si>
  <si>
    <t>- Đã đăng nhập
- Quy trình có nhiều tuần (&gt;10 tuần)</t>
  </si>
  <si>
    <t>- Đã đăng nhập
- Không có dữ liệu quy trình</t>
  </si>
  <si>
    <t>- Đã đăng nhập
- SV thuộc ngành X chưa có quy trình trong hệ thống</t>
  </si>
  <si>
    <t>- Quy trình hiển thị khác nhau tương ứng với từng chuyên ngành
- SV Công nghệ phần mềm không thấy quy trình của Hệ thông thông tin và ngược lại</t>
  </si>
  <si>
    <t>Quy trình hiển thị là của Đợt mới nhất, không phải đợt cũ</t>
  </si>
  <si>
    <t>Hiển thị đầy đủ nội dung, không bị cắt '...' mất thông tin</t>
  </si>
  <si>
    <t>Tên giảng viên hiển thị đúng: 'Nguyễn Văn Đ'</t>
  </si>
  <si>
    <t xml:space="preserve">Hiển thị đúng khi không có dữ liệu </t>
  </si>
  <si>
    <t>Hiển thị thông báo "Không tồn tại bản ghi nào.", không báo lỗi hệ thống</t>
  </si>
  <si>
    <t xml:space="preserve">Double click nút Lưu </t>
  </si>
  <si>
    <t>SV chưa đăng ký đề tài</t>
  </si>
  <si>
    <t xml:space="preserve">TBM khoá tuần </t>
  </si>
  <si>
    <t xml:space="preserve">Chỉ có 1 báo cáo mỗi tuần </t>
  </si>
  <si>
    <t xml:space="preserve">Link đúng định dạng URL http:// </t>
  </si>
  <si>
    <t xml:space="preserve">Link đúng định dạng URL https:// </t>
  </si>
  <si>
    <t xml:space="preserve">Link thiếu giao thức (không có http/https) </t>
  </si>
  <si>
    <t xml:space="preserve">Link là chuỗi text thông thường (không phải URL) </t>
  </si>
  <si>
    <t xml:space="preserve">Link chứa khoảng trắng ở đầu/cuối </t>
  </si>
  <si>
    <t xml:space="preserve">Cột Đường dẫn hiển thị link đúng, có thể click </t>
  </si>
  <si>
    <t>Thông báo thành công hiển thị, nội dung rõ ràng</t>
  </si>
  <si>
    <t>- Thông báo lỗi thất bại rõ ràng
- Yêu cầu thử lại</t>
  </si>
  <si>
    <t xml:space="preserve">- Chỉ lưu 1 bản ghi cho tuần đó
- Không duplicate
- Nút Lưu bị disabled sau click đầu tiên </t>
  </si>
  <si>
    <t>- Đã đăng nhập
- Đề tài đã được duyệt
- Danh sách tuần đã có trong hệ thống</t>
  </si>
  <si>
    <t>- Đã đăng nhập
- Đề tài đã được duyệt
- Danh sách tuần đã có</t>
  </si>
  <si>
    <t>- Đã đăng nhập
- Đề tài đã được duyệt</t>
  </si>
  <si>
    <t>- Đã đăng nhập
- Đề tài đã được duyệt
- Tuần 3 đã có báo cáo lần 1</t>
  </si>
  <si>
    <t>1. Nhấn Tác vụ Tuần 3
2. Sửa nội dung
3. Nhấn Lưu
4. Kiểm tra dữ liệu</t>
  </si>
  <si>
    <t>1. Nhấn Tác vụ tại Tuần 1 
2. Nhập nội dung hợp lệ
3. Nhấn Lưu</t>
  </si>
  <si>
    <t xml:space="preserve">- Đã đăng nhập
- Đề tài đã được duyệt
- TBM đã khoá, chỉ cho phép báo cáo tuần hiện tại </t>
  </si>
  <si>
    <t>- Đã đăng nhập
- Đề tài được duyệt</t>
  </si>
  <si>
    <t>- Đã đăng nhập
- Đề tài được duyệt
- Có dữ liệu tuần</t>
  </si>
  <si>
    <t>- Đã đăng nhập
- Có dữ liệu nhiều tuần</t>
  </si>
  <si>
    <t>- Đã đăng nhập
- Đề tài được duyệt
- Danh sách tuần hiển thị</t>
  </si>
  <si>
    <t>Đã lưu báo cáo Tuần 5 thành công</t>
  </si>
  <si>
    <t>1. Nhấn nút Tác vụ tại Tuần 5
2. Quan sát form</t>
  </si>
  <si>
    <t>Cột Nội dung thực hiện tại Tuần 5 hiển thị đúng nội dung vừa lưu</t>
  </si>
  <si>
    <t>Nội dung đã lưu: "Hoàn thành chương 1"</t>
  </si>
  <si>
    <t>1. Sau khi lưu thành công
2. Quan sát bảng danh sách tuần
3. Kiểm tra hàng Tuần 5</t>
  </si>
  <si>
    <t>1. Sau khi lưu thành công
2. Quan sát cột Đường dẫn tại Tuần 4</t>
  </si>
  <si>
    <t>Link đã lưu: https://drive.google.com/drive/u/0/folders/1DUMbgDImjrSUzz8-vAA5WdExgSHRlusL</t>
  </si>
  <si>
    <t>- Đã đăng nhập
- Đề tài được duyệt
- Form đang mở</t>
  </si>
  <si>
    <t>- Đã đăng nhập
- Đề tài được duyệt
- Form đã điền nội dung</t>
  </si>
  <si>
    <t>1. Nhập nội dung hợp lệ
2. Click nút Lưu 2 lần liên tiếp nhanh
3. Quan sát giao diện</t>
  </si>
  <si>
    <t>TC-S06-16</t>
  </si>
  <si>
    <t>TC-S06-17</t>
  </si>
  <si>
    <t>Nội dung: "Đã hoàn thành phân tích yêu cầu"
Link: ""</t>
  </si>
  <si>
    <t>- Bảng hiển thị: Tuần 1 → 2 → 3 → 4 (tăng dần)
- Không có tuần trùng nhau</t>
  </si>
  <si>
    <t xml:space="preserve">Upload file PDF bị corrupt </t>
  </si>
  <si>
    <t xml:space="preserve">Upload PDF đúng giới hạn 30MB </t>
  </si>
  <si>
    <t>Upload file rỗng</t>
  </si>
  <si>
    <t xml:space="preserve">Nộp báo cáo khi đề tài chưa được duyệt </t>
  </si>
  <si>
    <t xml:space="preserve">Nộp báo cáo ngoài thời gian cho phép </t>
  </si>
  <si>
    <t xml:space="preserve">Nộp báo cáo đúng ngày deadline </t>
  </si>
  <si>
    <t>Báo cáo của SV Vũ Thị Thùy Dương không ghi đè lên báo cáo SV Phạm Thị Nhung</t>
  </si>
  <si>
    <t>SV Vũ Thị Thùy Dương và SV Phạm Thị Nhung đều đã đăng nhập và nộp báo cáo</t>
  </si>
  <si>
    <t>1. SV Vũ Thị Thùy Dương nộp báo cáo
2. Kiểm tra DB: file của SV Phạm Thị Nhung có bị ảnh hưởng không</t>
  </si>
  <si>
    <t>File SV Phạm Thị Nhung trong DB không bị thay đổi</t>
  </si>
  <si>
    <t>- Đã đăng nhập
- Đề tài đã được duyệt
- Đang trong thời gian cho phép nộp</t>
  </si>
  <si>
    <t xml:space="preserve">Upload PDF vượt 30MB </t>
  </si>
  <si>
    <t xml:space="preserve">Upload file không phải PDF (.docx) </t>
  </si>
  <si>
    <t>- Đã đăng nhập
- Đề tài được duyệt
- Đã hết thời hạn nộp báo cáo</t>
  </si>
  <si>
    <t xml:space="preserve">- Đã đăng nhập
- Đề tài đang ở trạng thái 'Chờ GV duyệt' </t>
  </si>
  <si>
    <t>Hệ thống hiển thị "Không tồn tại bản ghi nào"</t>
  </si>
  <si>
    <t>Nút Tác vụ bị disable</t>
  </si>
  <si>
    <t xml:space="preserve">Nộp thành công </t>
  </si>
  <si>
    <t>- Đã đăng nhập
- Đề tài được duyệt
- Deadline ngày cuối</t>
  </si>
  <si>
    <t>- Đã đăng nhập
- Đề tài được duyệt
- Trong thời gian nộp
- SV đã nộp báo cáo lần 1 trước đó</t>
  </si>
  <si>
    <t>- Đã đăng nhập
- SV có đề tài được duyệt</t>
  </si>
  <si>
    <t>- Đã đăng nhập
- Đang trong quá trình upload file</t>
  </si>
  <si>
    <t>Upload và lưu thành công</t>
  </si>
  <si>
    <t>Báo lỗi: "File vượt quá dung lượng cho phép (tối đa 30MB)"</t>
  </si>
  <si>
    <t>Báo lỗi: "File không hợp lệ hoặc rỗng"</t>
  </si>
  <si>
    <t>Hệ thống lưu phiên bản mới nhất</t>
  </si>
  <si>
    <t>- Redirect về trang đăng nhập
- Không hiển thị form nộp báo cáo</t>
  </si>
  <si>
    <t xml:space="preserve">Tên file được hiển thị trên giao diện sau khi chọn </t>
  </si>
  <si>
    <t>Giao diện hiển thị tên file đã nộp</t>
  </si>
  <si>
    <t>Thông báo thất bại</t>
  </si>
  <si>
    <t>- File không được lưu 
- Trang reload về trạng thái ban đầu</t>
  </si>
  <si>
    <t>Hệ thống báo lỗi lưu thất bại</t>
  </si>
  <si>
    <t>1. Chọn file PDF hợp lệ
2. Nhấn Lưu lại
3. Nhấn F5 (refresh) giữa chừng
4. Quan sát giao diện</t>
  </si>
  <si>
    <t>Tài khoản: 1
Mật khẩu: 123457</t>
  </si>
  <si>
    <t>Tài khoản: 9999
Mật khẩu: 123456</t>
  </si>
  <si>
    <t xml:space="preserve">Tài khoản: 123
Mật khẩu: 123456
</t>
  </si>
  <si>
    <t>Tài khoản: 12345678901234567890
Mật khẩu: 123456</t>
  </si>
  <si>
    <t>Tài khoản: 123456789012345678901
Mật khẩu: 123456</t>
  </si>
  <si>
    <t>Tài khoản: "          "
Mật khẩu: 123456</t>
  </si>
  <si>
    <t>Tài khoản: 9999@
Mật khẩu: 123456</t>
  </si>
  <si>
    <t>Tài khoản: 9999a
Mật khẩu: 123456</t>
  </si>
  <si>
    <t>250 ký tự</t>
  </si>
  <si>
    <t>251 ký tự</t>
  </si>
  <si>
    <t>Username 3 ký tự</t>
  </si>
  <si>
    <t>Username 21 ký tự</t>
  </si>
  <si>
    <t>- Báo lỗi
- Nút Đăng nhập bị disable</t>
  </si>
  <si>
    <t>Không bị logout ra ngoài</t>
  </si>
  <si>
    <t xml:space="preserve">- Đã đăng nhập
- Trang Thông tin sinh viên </t>
  </si>
  <si>
    <t>- Đã đăng nhập
- Trang Thông tin sinh viên 
- SV đã có CV cũ</t>
  </si>
  <si>
    <t xml:space="preserve">- Đã đăng nhập với tài khoản SV A, SV B có data sẵn
- Trang Thông tin sinh viên </t>
  </si>
  <si>
    <t>- Đã đăng nhập
- Trang Thông tin sinh viên 
- SV có data trong DB</t>
  </si>
  <si>
    <t>- Đã đăng nhập
- Trang Thông tin sinh viên 
- Không có internet</t>
  </si>
  <si>
    <t xml:space="preserve"> 
2. Sửa Email hợp lệ, không thay CV
3. Ấn Lưu thông tin</t>
  </si>
  <si>
    <t>1. Điền đầy đủ các trường
2. Upload CV hợp lệ
3. Ấn Lưu thông tin</t>
  </si>
  <si>
    <t>1. Xóa trắng Tên sinh viên
2. Ấn Lưu thông tin</t>
  </si>
  <si>
    <t>1. Nhập Tên sinh viên
2. Ấn Lưu thông tin</t>
  </si>
  <si>
    <t>1. Nhập tên có khoảng trắng đầu/cuối
2. Ấn Lưu thông tin</t>
  </si>
  <si>
    <t>1. Nhập ngày sinh không hợp lệ
2. Ấn Lưu thông tin</t>
  </si>
  <si>
    <t>1. Chọn đúng ngày hôm nay
2. Ấn Lưu thông tin</t>
  </si>
  <si>
    <t>1. Chọn ngày sinh ở tương lai
2. Ấn Lưu thông tin</t>
  </si>
  <si>
    <t>1. Nhập SĐT 9 số
2. Ấn Lưu thông tin</t>
  </si>
  <si>
    <t>1. Nhập SĐT 11 số
2. Ấn Lưu thông tin</t>
  </si>
  <si>
    <t>1. Nhập SĐT có chữ
2. Ấn Lưu thông tin</t>
  </si>
  <si>
    <t>1. Nhập SĐT có ký tự đặc biệt
2. Ấn Lưu thông tin</t>
  </si>
  <si>
    <t>1. Nhập SĐT gồm 10 khoảng trắng
2. Ấn Lưu thông tin</t>
  </si>
  <si>
    <t>1. Nhập email sai format
2. Ấn Lưu thông tin</t>
  </si>
  <si>
    <t>1. Nhập email có ký tự #
2. Ấn Lưu thông tin</t>
  </si>
  <si>
    <t>1. Nhập email có khoảng trắng hai đầu
2. Ấn Lưu thông tin</t>
  </si>
  <si>
    <t>1. Nhập email không có @
2. Ấn Lưu thông tin</t>
  </si>
  <si>
    <t>1. Nhập email không có dấu chấm
2. Ấn Lưu thông tin</t>
  </si>
  <si>
    <t>1. Nhập email sai thứ tự
2. Ấn Lưu thông tin</t>
  </si>
  <si>
    <t>1. Nhập email có ký tự Unicode
2. Ấn Lưu thông tin</t>
  </si>
  <si>
    <t>1. Upload file .docx
2. Ấn Lưu thông tin</t>
  </si>
  <si>
    <t>1. Upload file PDF &gt;10MB
2. Ấn Lưu thông tin</t>
  </si>
  <si>
    <t>1. Upload file PDF đúng 10MB
2. Ấn Lưu thông tin</t>
  </si>
  <si>
    <t>1. Điền đầy đủ thông tin, bỏ trống CV
2. Ấn Lưu thông tin</t>
  </si>
  <si>
    <t>1. Thử click/sửa trường Mã sinh viên
2. Ấn Lưu thông tin</t>
  </si>
  <si>
    <t>1. Quan sát dữ liệu hiển thị</t>
  </si>
  <si>
    <t>1. Click dropdown Giới tính
2. Quan sát danh sách</t>
  </si>
  <si>
    <t>1. Điền đầy đủ các trường
2. Ngắt kết nối mạng trong khi đang lưu
3. Quan sát kết quả</t>
  </si>
  <si>
    <t>TC-S08-01</t>
  </si>
  <si>
    <t>Bảng hiển thị đầy đủ thông tin: STT, Giáo viên phản biện, Mã GV, Tên GV, Email, SĐT, Hẹn lịch phản biện, Tác vụ</t>
  </si>
  <si>
    <t>TC-S08-02</t>
  </si>
  <si>
    <t>Hiển thị đúng 2 giảng viên phản biện</t>
  </si>
  <si>
    <t>Bảng hiển thị đúng 2 hàng tương ứng 2 GVPB</t>
  </si>
  <si>
    <t>TC-S08-03</t>
  </si>
  <si>
    <t>Hiển thị đúng 1 giảng viên phản biện khi chỉ có 1</t>
  </si>
  <si>
    <t>Bảng hiển thị đúng 1 hàng, không báo lỗi</t>
  </si>
  <si>
    <t>TC-S08-04</t>
  </si>
  <si>
    <t>Chưa có GVPB được phân công</t>
  </si>
  <si>
    <t>TC-S08-05</t>
  </si>
  <si>
    <t>Hiển thị đầy đủ: Điểm đánh giá, Nhận xét phản biện, Kết luận: Được bảo vệ</t>
  </si>
  <si>
    <t>TC-S08-06</t>
  </si>
  <si>
    <t>TC-S08-07</t>
  </si>
  <si>
    <t>Chưa có kết quả phản biện – GVPB chưa nhập</t>
  </si>
  <si>
    <t>TC-S08-08</t>
  </si>
  <si>
    <t>Lịch phản biện hiển thị đúng khi đã được cấu hình</t>
  </si>
  <si>
    <t>TC-S08-09</t>
  </si>
  <si>
    <t>Lịch phản biện trống khi chưa được cấu hình</t>
  </si>
  <si>
    <t>Cột Hẹn lịch phản biện hiển thị trống hoặc "Chưa có lịch", không báo lỗi</t>
  </si>
  <si>
    <t>TC-S08-10</t>
  </si>
  <si>
    <t>SV chỉ xem được thông tin GVPB của đề tài mình</t>
  </si>
  <si>
    <t>Đã đăng nhập với tài khoản SV A. SV B có GVPB khác</t>
  </si>
  <si>
    <t>Chỉ hiển thị GVPB của đề tài SV A, không lộ thông tin GVPB của SV B</t>
  </si>
  <si>
    <t>TC-S08-11</t>
  </si>
  <si>
    <t>TC-S08-12</t>
  </si>
  <si>
    <t>1. Truy cập trực tiếp URL trang Xem giảng viên phản biện khi chưa login</t>
  </si>
  <si>
    <t>Redirect về trang đăng nhập, không hiển thị dữ liệu</t>
  </si>
  <si>
    <t>TC-S08-13</t>
  </si>
  <si>
    <t>Bảng hiển thị đủ 8 cột đúng tên</t>
  </si>
  <si>
    <t>Bảng có đủ 8 cột: STT │ Giáo viên phản biện │ Mã giảng viên │ Tên giảng viên │ Email │ Số điện thoại │ Hẹn lịch phản biện │ Tác vụ</t>
  </si>
  <si>
    <t>TC-S08-14</t>
  </si>
  <si>
    <t>Thông tin Email và SĐT của GVPB hiển thị đúng</t>
  </si>
  <si>
    <t>Cột Email và SĐT hiển thị đúng thông tin của từng GVPB</t>
  </si>
  <si>
    <t>TC-S08-15</t>
  </si>
  <si>
    <t>Thông báo "Không tồn tại bản ghi nào" hiển thị đúng vị trí</t>
  </si>
  <si>
    <t>TC-S08-16</t>
  </si>
  <si>
    <t>Mất kết nối mạng khi tải dữ liệu GVPB</t>
  </si>
  <si>
    <t>TC-S08-17</t>
  </si>
  <si>
    <t>Lỗi server/API khi truy xuất dữ liệu GVPB</t>
  </si>
  <si>
    <t>- Đã đăng nhập. 
- Chức năng Xem giảng viên phản biện và hội đồng
- TBM đã phân công GVPB cho đề tài của SV</t>
  </si>
  <si>
    <t>1.Quan sát danh sách GVPB</t>
  </si>
  <si>
    <t>- Đăng nhập thành công - Chuyển hướng sang Dashboard Trang chủ</t>
  </si>
  <si>
    <t>- Đăng nhập thành công 
- Chuyển hướng sang Dashboard Trang chủ</t>
  </si>
  <si>
    <t>- Ở trang đăng nhập 
- Đã tồn tại tài khoản đang hoạt động</t>
  </si>
  <si>
    <t>- Ở trang đăng nhập 
- Tài khoản chưa tồn tại</t>
  </si>
  <si>
    <t>- Ở trang đăng nhập 
- Tài khoản bị khóa</t>
  </si>
  <si>
    <t>Ở trang đăng nhập</t>
  </si>
  <si>
    <t>- Ở trang đăng nhập 
- Đăng nhập lần đầu</t>
  </si>
  <si>
    <t>- Ở trang đăng nhập 
- Không có Internet</t>
  </si>
  <si>
    <t>- Ở trang đăng nhập 
- Đã đổi mật khẩu</t>
  </si>
  <si>
    <t xml:space="preserve">
2. Nhập Tài khoản
3. Nhập mật khẩu</t>
  </si>
  <si>
    <t/>
  </si>
  <si>
    <t>1. Nhập Tài khoản
2. Nhập mật khẩu
3. Ấn nút Đăng nhập</t>
  </si>
  <si>
    <t>1. Nhập Tài khoản
2. Nhập mật khẩu</t>
  </si>
  <si>
    <t>1. Nhập Tài khoản
2. Nhập mật khẩu
3. Ấn nút Đăng nhập
4. Đóng model Đổi mật khẩu</t>
  </si>
  <si>
    <t>1. Nhập Tài khoản
2. Nhập mật khẩu
3. Ấn Enter</t>
  </si>
  <si>
    <t>1. Tab lần lượt các field</t>
  </si>
  <si>
    <t>1. Nhập Tài khoản không hợp lệ
2. Nhập mật khẩu</t>
  </si>
  <si>
    <t>1. Nhập Tài khoản không hợp lệ</t>
  </si>
  <si>
    <t>URL: http://14.241.80.87:9993/graduation/graduation-student-view-argument-ref</t>
  </si>
  <si>
    <t>- Thông báo hiển thị đúng vị trí, rõ ràng
- Không hiện bảng trống</t>
  </si>
  <si>
    <t>1. Đăng nhập SV A. 
2. Vào chức năng Xem giảng viên phản biện và hội đồng. 
3. Quan sát dữ liệu hiển thị</t>
  </si>
  <si>
    <t>1. Tắt mạng. 
2. Vào chức năng Xem giảng viên phản biện và hội đồng. 
3. Quan sát kết quả</t>
  </si>
  <si>
    <t>1. Mock server trả về lỗi 500. 
2. Vào chức năng Xem giảng viên phản biện và hội đồng. 
3. Quan sát</t>
  </si>
  <si>
    <t>Modal mở ra hiển thị đầy đủ: Mã GV, Tên GV, Điểm đánh giá, Nhận xét phản biện, Kết luận</t>
  </si>
  <si>
    <t>Mỗi modal hiển thị đúng kết quả của GVPB tương ứng, không lẫn dữ liệu</t>
  </si>
  <si>
    <t>Modal hiển thị đúng kết quả của đúng GVPB được chọn</t>
  </si>
  <si>
    <t>TC-S08-18</t>
  </si>
  <si>
    <t>Modal đóng lại, trang danh sách GVPB không thay đổi</t>
  </si>
  <si>
    <t>TC-S08-19</t>
  </si>
  <si>
    <t>Đóng modal bằng click ra ngoài</t>
  </si>
  <si>
    <t>Modal đóng lại, trang danh sách không bị ảnh hưởng</t>
  </si>
  <si>
    <t>TC-S08-20</t>
  </si>
  <si>
    <t>Button Tác vụ hiển thị đúng cho từng hàng GVPB</t>
  </si>
  <si>
    <t>TC-S08-21</t>
  </si>
  <si>
    <t>Modal hiển thị đầy đủ các trường thông tin chi tiết</t>
  </si>
  <si>
    <t>TC-S08-22</t>
  </si>
  <si>
    <t>Modal không vỡ layout khi nhận xét dài</t>
  </si>
  <si>
    <t>Modal hiển thị đầy đủ nội dung, có scroll nếu cần, không bị tràn ra ngoài</t>
  </si>
  <si>
    <t>TC-S08-23</t>
  </si>
  <si>
    <t>Chỉ 1 modal mở tại 1 thời điểm</t>
  </si>
  <si>
    <t>- Đã đăng nhập. 
- GVPB đã nhập đầy đủ điểm, nhận xét, kết luận</t>
  </si>
  <si>
    <t>1. Quan sát số lượng hàng trong bảng</t>
  </si>
  <si>
    <t>1. Quan sát kết quả</t>
  </si>
  <si>
    <t>1. Quan sát cột điểm, nhận xét, kết luận</t>
  </si>
  <si>
    <t>1. Quan sát cột Kết luận</t>
  </si>
  <si>
    <t>1. Quan sát phần kết quả phản biện</t>
  </si>
  <si>
    <t>1. Quan sát cột Hẹn lịch phản biện</t>
  </si>
  <si>
    <t>1. Quan sát tiêu đề bảng</t>
  </si>
  <si>
    <t>1. Quan sát cột Email và SĐT</t>
  </si>
  <si>
    <t>1. Quan sát UI</t>
  </si>
  <si>
    <t>1. Nhấn button Tác vụ tại hàng GVPB 1. 
2. Quan sát modal</t>
  </si>
  <si>
    <t>1. Nhấn button Tác vụ. 
2. Quan sát modal</t>
  </si>
  <si>
    <t>1. Nhấn Tác vụ tại hàng GVPB 1. 
2. Ghi nhận nội dung modal. 
3. Đóng modal. 
4. Nhấn Tác vụ tại hàng GVPB 2. 
5. So sánh nội dungGVPB 1: điểm 8.0 / GVPB 2: điểm 9.0</t>
  </si>
  <si>
    <t>1. Nhấn Tác vụ mở modal. 
2. Nhấn nút X (đóng modal). 
3. Quan sát</t>
  </si>
  <si>
    <t>1. Nhấn Tác vụ mở modal. 
2. Click vùng overlay bên ngoài modal. 
3. Quan sát</t>
  </si>
  <si>
    <t>1. Quan sát cột Tác vụ</t>
  </si>
  <si>
    <t>1. Nhấn Tác vụ. 
2. Quan sát nội dung bên trong modalGVPB có đủ: điểm, nhận xét, kết luận</t>
  </si>
  <si>
    <t>1. Nhấn Tác vụ. 
2. Quan sát modal với nội dung nhận xét dàiNhận xét: chuỗi &gt;500 ký tự</t>
  </si>
  <si>
    <t>1. Nhấn Tác vụ GVPB 1 → modal mở. 
2. Không đóng, thử nhấn Tác vụ GVPB 2. 
3. Quan sát</t>
  </si>
  <si>
    <t>- Đã đăng nhập. 
- Chức năng Xem giảng viên phản biện và hội đồng
- TBM đã phân công đủ 2 GVPB</t>
  </si>
  <si>
    <t>- Đã đăng nhập. 
- Chức năng Xem giảng viên phản biện và hội đồng
- TBM chỉ phân công 1 GVPB</t>
  </si>
  <si>
    <t>- Đã đăng nhập. 
- Chức năng Xem giảng viên phản biện và hội đồng
- TBM chưa phân công GVPB</t>
  </si>
  <si>
    <t>- Đã đăng nhập. 
- Chức năng Xem giảng viên phản biện và hội đồng
- GVPB đã hoàn thành đánh giá</t>
  </si>
  <si>
    <t>- Đã đăng nhập. 
- Chức năng Xem giảng viên phản biện và hội đồng
- GVPB đã nhập kết luận từ chối</t>
  </si>
  <si>
    <t>- Đã đăng nhập. 
- Chức năng Xem giảng viên phản biện và hội đồng
- GVPB đã được phân công nhưng chưa nhập kết quả</t>
  </si>
  <si>
    <t>- Đã đăng nhập. 
- Chức năng Xem giảng viên phản biện và hội đồng
- TBM đã cấu hình lịch phản biện</t>
  </si>
  <si>
    <t>- Đã đăng nhập. 
- Chức năng Xem giảng viên phản biện và hội đồng
- TBM chưa cấu hình lịch phản biện</t>
  </si>
  <si>
    <t>- Đã đăng nhập. 
- Chức năng Xem giảng viên phản biện và hội đồng
- Có dữ liệu GVPB</t>
  </si>
  <si>
    <t>- Đã đăng nhập. 
- Chức năng Xem giảng viên phản biện và hội đồng
- Chưa có dữ liệu GVPB</t>
  </si>
  <si>
    <t>- Đã đăng nhập. 
- Chức năng Xem giảng viên phản biện và hội đồng
- GVPB được phân công nhưng chưa nhập kết quả</t>
  </si>
  <si>
    <t>- Đã đăng nhập. 
- Chức năng Xem giảng viên phản biện và hội đồng
- Có 2 GVPB với kết quả khác nhau</t>
  </si>
  <si>
    <t>- Đã đăng nhập. 
- Chức năng Xem giảng viên phản biện và hội đồng
- Modal đang mở</t>
  </si>
  <si>
    <t>- Đã đăng nhập. 
- Chức năng Xem giảng viên phản biện và hội đồng
- GVPB đã có kết quả đầy đủ</t>
  </si>
  <si>
    <t>- Đã đăng nhập. 
- Chức năng Xem giảng viên phản biện và hội đồng
- GVPB nhập nhận xét rất dài</t>
  </si>
  <si>
    <t>- Đã đăng nhập. 
- Chức năng Xem giảng viên phản biện và hội đồng
- Có 2 GVPB</t>
  </si>
  <si>
    <t>- Đã đăng nhập. 
- Chức năng Xem giảng viên phản biện và hội đồng
- Không có internet</t>
  </si>
  <si>
    <t>- Đã đăng nhập. 
- Chức năng Xem giảng viên phản biện và hội đồng
- Server mock trả về 500</t>
  </si>
  <si>
    <t>TC-S08-24</t>
  </si>
  <si>
    <t>Mất mạng khi đang mở modal chi tiết</t>
  </si>
  <si>
    <t>1. Mở modal chi tiết thành công. 
2. Tắt mạng. 
3. Quan sát nội dung modal</t>
  </si>
  <si>
    <t>- Đã đăng nhập. 
- Chức năng Xem giảng viên phản biện và hội đồng
- Modal đã mở sẵn</t>
  </si>
  <si>
    <t>Không thể ấn nút Tác vụ khi không đóng modal</t>
  </si>
  <si>
    <t>Modal hiển thị đủ thông tin</t>
  </si>
  <si>
    <t>-  Có 2 GVPB
- Mỗi hàng GVPB đều có button Tác vụ, không bị ẩn hoặc disabled</t>
  </si>
  <si>
    <t>Ô trắng, không có dữ liệu</t>
  </si>
  <si>
    <t>Cột Hẹn lịch phản biện hiển thị</t>
  </si>
  <si>
    <t xml:space="preserve">Đóng modal </t>
  </si>
  <si>
    <t>- Hiển thị thông báo lỗi hệ thống phù hợp
- Không crash UI
- Không hiển thị dữ liệu rỗng sai</t>
  </si>
  <si>
    <t>- Dữ liệu đã load vẫn hiển thị
- Không crash UI</t>
  </si>
  <si>
    <t>- Hiển thị thông báo lỗi kết nối rõ ràng
- Không crash UI</t>
  </si>
  <si>
    <t>1. Quan sát bảng</t>
  </si>
  <si>
    <t>TC-S08-25</t>
  </si>
  <si>
    <t>TC-S08-26</t>
  </si>
  <si>
    <t>Xem thông tin PB</t>
  </si>
  <si>
    <t>Xem thông tin phản biện</t>
  </si>
  <si>
    <t>TC-S09-01</t>
  </si>
  <si>
    <t>1. Quan sát danh sách hội đồng</t>
  </si>
  <si>
    <t>Bảng hiển thị đầy đủ thông tin: STT, Mã giảng viên, Tên giảng viên, Mã bộ môn, Nhiệm vụ</t>
  </si>
  <si>
    <t>TC-S09-02</t>
  </si>
  <si>
    <t>Hiển thị đúng số lượng thành viên hội đồng</t>
  </si>
  <si>
    <t>Bảng hiển thị đúng số lượng thành viên đã được phân công</t>
  </si>
  <si>
    <t>TC-S09-03</t>
  </si>
  <si>
    <t>Hiển thị đúng vai trò Chủ tịch hội đồng</t>
  </si>
  <si>
    <t>1. Quan sát cột Nhiệm vụ</t>
  </si>
  <si>
    <t>Thành viên có vai trò “Chủ tịch hội đồng” hiển thị đúng</t>
  </si>
  <si>
    <t>TC-S09-04</t>
  </si>
  <si>
    <t>Hiển thị đúng vai trò Thư ký</t>
  </si>
  <si>
    <t>Thành viên có vai trò “Thư ký” hiển thị đúng</t>
  </si>
  <si>
    <t>TC-S09-05</t>
  </si>
  <si>
    <t>Hiển thị đúng vai trò Ủy viên</t>
  </si>
  <si>
    <t>Thành viên có vai trò “Ủy viên” hiển thị đúng</t>
  </si>
  <si>
    <t>TC-S09-06</t>
  </si>
  <si>
    <t>Chưa có hội đồng được phân công</t>
  </si>
  <si>
    <t>Hiển thị: “Bạn chưa nằm trong hội đồng nào.”</t>
  </si>
  <si>
    <t>TC-S09-07</t>
  </si>
  <si>
    <t>Sinh viên chỉ xem được hội đồng của mình</t>
  </si>
  <si>
    <t>Chỉ hiển thị hội đồng của SV A, không lộ dữ liệu SV B</t>
  </si>
  <si>
    <t>TC-S09-08</t>
  </si>
  <si>
    <t>Dữ liệu hội đồng cập nhật đúng sau khi TBM phân công</t>
  </si>
  <si>
    <t>Hiển thị dữ liệu hội đồng mới nhất</t>
  </si>
  <si>
    <t>TC-S09-09</t>
  </si>
  <si>
    <t>1. Truy cập trực tiếp URL trang hội đồng bảo vệ</t>
  </si>
  <si>
    <t>URL: http://14.241.80.87:9993/graduation/graduation-student-view-council</t>
  </si>
  <si>
    <t>TC-S09-10</t>
  </si>
  <si>
    <t>Bảng hiển thị đúng 5 cột</t>
  </si>
  <si>
    <t>Bảng có đủ 5 cột: STT │ Mã giảng viên │ Tên giảng viên │ Mã bộ môn │ Nhiệm vụ</t>
  </si>
  <si>
    <t>TC-S09-11</t>
  </si>
  <si>
    <t>Thông tin mã giảng viên hiển thị đúng</t>
  </si>
  <si>
    <t>1. Quan sát cột Mã giảng viên</t>
  </si>
  <si>
    <t>Mã giảng viên hiển thị đúng với dữ liệu hệ thống</t>
  </si>
  <si>
    <t>TC-S09-12</t>
  </si>
  <si>
    <t>Thông tin tên giảng viên hiển thị đúng</t>
  </si>
  <si>
    <t>1. Quan sát cột Tên giảng viên</t>
  </si>
  <si>
    <t>Tên giảng viên hiển thị đầy đủ, đúng dữ liệu</t>
  </si>
  <si>
    <t>TC-S09-13</t>
  </si>
  <si>
    <t>Thông tin mã bộ môn hiển thị đúng</t>
  </si>
  <si>
    <t>1. Quan sát cột Mã bộ môn</t>
  </si>
  <si>
    <t>Mã bộ môn hiển thị đúng theo dữ liệu phân công</t>
  </si>
  <si>
    <t>TC-S09-14</t>
  </si>
  <si>
    <t>Cột Nhiệm vụ hiển thị đúng vai trò từng thành viên</t>
  </si>
  <si>
    <t>Hiển thị đúng vai trò từng thành viên trong hội đồng</t>
  </si>
  <si>
    <t>TC-S09-15</t>
  </si>
  <si>
    <t>Thông báo chưa có hội đồng hiển thị đúng vị trí</t>
  </si>
  <si>
    <t>TC-S09-16</t>
  </si>
  <si>
    <t>Bảng không vỡ layout khi tên giảng viên dài</t>
  </si>
  <si>
    <t>1. Quan sát UI bảng</t>
  </si>
  <si>
    <t>Bảng hiển thị bình thường, không tràn layout</t>
  </si>
  <si>
    <t>TC-S09-17</t>
  </si>
  <si>
    <t>TC-S09-18</t>
  </si>
  <si>
    <t>Responsive UI khi thu nhỏ màn hình</t>
  </si>
  <si>
    <t>Bảng vẫn hiển thị đầy đủ, không chồng lấn dữ liệu</t>
  </si>
  <si>
    <t>TC-S09-19</t>
  </si>
  <si>
    <t>Mất kết nối mạng khi tải dữ liệu hội đồng</t>
  </si>
  <si>
    <t>Lỗi server/API khi truy xuất dữ liệu hội đồng</t>
  </si>
  <si>
    <t>- Đã đăng nhập.
- Chức năng Xem giảng viên phản biện và hội đồng
- TBM đã phân công hội đồng cho SV</t>
  </si>
  <si>
    <t>- Đã đăng nhập.
- Chức năng Xem giảng viên phản biện và hội đồng
- Hội đồng có nhiều thành viên</t>
  </si>
  <si>
    <t>- Đã đăng nhập.
- Có dữ liệu hội đồng</t>
  </si>
  <si>
    <t>- Đã đăng nhập.
- Chức năng Xem giảng viên phản biện và hội đồng
- TBM chưa phân công hội đồng</t>
  </si>
  <si>
    <t>- Đăng nhập bằng SV A
- SV B thuộc hội đồng khác</t>
  </si>
  <si>
    <t>1. Đăng nhập SV A
2. Vào chức năng Xem thông tin hội đồng bảo vệ
3. Quan sát dữ liệu hiển thị</t>
  </si>
  <si>
    <t>- Đã đăng nhập
- TBM vừa cập nhật hội đồng</t>
  </si>
  <si>
    <t>1. Refresh trang
2. Quan sát danh sách hội đồng</t>
  </si>
  <si>
    <t>- Đã đăng nhập
- Chưa có dữ liệu hội đồng</t>
  </si>
  <si>
    <t>- Đã đăng nhập
- Có dữ liệu hội đồng</t>
  </si>
  <si>
    <t>- Đã đăng nhập
- Có GV tên dài</t>
  </si>
  <si>
    <t>- Hiển thị rõ ràng thông báo: “Bạn chưa nằm trong hội đồng nào.
- Không hiển thị bảng trống</t>
  </si>
  <si>
    <t>1. Thu nhỏ trình duyệt
2. Quan sát bảng</t>
  </si>
  <si>
    <t>- Đã đăng nhập
- Không có internet</t>
  </si>
  <si>
    <t>1. Tắt mạng
2. Vào chức năng Xem thông tin hội đồng
3. Quan sát kết quả</t>
  </si>
  <si>
    <t>- Đã đăng nhập
- Server mock trả về lỗi 500</t>
  </si>
  <si>
    <t>1. Mock API trả về lỗi 500
2. Vào chức năng Xem thông tin hội đồng
3. Quan sát</t>
  </si>
  <si>
    <t>- Hiển thị thông báo lỗi hệ thống phù hợp
- Không crash UI
- Không hiển thị dữ liệu sai</t>
  </si>
  <si>
    <t>Xem thông tin GVPB – đã có phân công</t>
  </si>
  <si>
    <t>Xem kết quả phản biện -đã có dữ liệu</t>
  </si>
  <si>
    <t>Kết luận hiển thị đúng</t>
  </si>
  <si>
    <t>Kết luận hiển thị đúng.</t>
  </si>
  <si>
    <t>Nhấn Tác vụ mở modal chi tiết - đã có kết quả</t>
  </si>
  <si>
    <t>Nhấn Tác vụ mở modal chi tiết - chưa có kết quả</t>
  </si>
  <si>
    <t>Xem thông tin hội đồng – đã có phân công</t>
  </si>
  <si>
    <t>Tên đề tài: "kiểm thử"</t>
  </si>
  <si>
    <t>- Đã đăng nhập
- SV đã đăng ký đề tài
- Danh sách có đề tài chứa cụm từ "kiểm thử"</t>
  </si>
  <si>
    <t>Tên đề tài: "Xây dựng quy trình kiểm thử bảo mật tự động tích hợp trong mô hình DevSecOps "</t>
  </si>
  <si>
    <t>- Đã đăng nhập
- SV đã đăng ký đề tài
- Danh sách có đề tài "Xây dựng quy trình kiểm thử bảo mật tự động tích hợp trong mô hình DevSecOps"</t>
  </si>
  <si>
    <t>Hệ thống có dữ liệu quy trình</t>
  </si>
  <si>
    <t>- Đề tài không xuất hiện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</si>
</sst>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36" x14ac:knownFonts="1">
    <font>
      <sz val="11"/>
      <color rgb="FF000000"/>
      <name val="MS PGothic"/>
      <scheme val="minor"/>
    </font>
    <font>
      <sz val="11"/>
      <color theme="1"/>
      <name val="MS PGothic"/>
      <family val="2"/>
      <scheme val="minor"/>
    </font>
    <font>
      <sz val="11"/>
      <color theme="1"/>
      <name val="MS PGothic"/>
      <family val="2"/>
      <scheme val="minor"/>
    </font>
    <font>
      <sz val="10"/>
      <color theme="1"/>
      <name val="Arial"/>
      <family val="2"/>
    </font>
    <font>
      <b/>
      <sz val="22"/>
      <color rgb="FFFF0000"/>
      <name val="Arial"/>
      <family val="2"/>
    </font>
    <font>
      <b/>
      <sz val="26"/>
      <color rgb="FFFF0000"/>
      <name val="Arial"/>
      <family val="2"/>
    </font>
    <font>
      <b/>
      <sz val="20"/>
      <color rgb="FF000000"/>
      <name val="Arial"/>
      <family val="2"/>
    </font>
    <font>
      <sz val="11"/>
      <name val="MS PGothic"/>
      <family val="2"/>
    </font>
    <font>
      <b/>
      <sz val="10"/>
      <color rgb="FF993300"/>
      <name val="Arial"/>
      <family val="2"/>
    </font>
    <font>
      <i/>
      <sz val="10"/>
      <color rgb="FF008000"/>
      <name val="Arial"/>
      <family val="2"/>
    </font>
    <font>
      <b/>
      <sz val="10"/>
      <color rgb="FFFFFFFF"/>
      <name val="Arial"/>
      <family val="2"/>
    </font>
    <font>
      <u/>
      <sz val="10"/>
      <color rgb="FF0000FF"/>
      <name val="Arial"/>
      <family val="2"/>
    </font>
    <font>
      <sz val="11"/>
      <color rgb="FF000000"/>
      <name val="Arial"/>
      <family val="2"/>
    </font>
    <font>
      <b/>
      <sz val="10"/>
      <color rgb="FF000000"/>
      <name val="Arial"/>
      <family val="2"/>
    </font>
    <font>
      <b/>
      <sz val="10"/>
      <color rgb="FFFF0000"/>
      <name val="Arial"/>
      <family val="2"/>
    </font>
    <font>
      <b/>
      <sz val="10"/>
      <color theme="1"/>
      <name val="Arial"/>
      <family val="2"/>
    </font>
    <font>
      <u/>
      <sz val="10"/>
      <color rgb="FF0000FF"/>
      <name val="Arial"/>
      <family val="2"/>
    </font>
    <font>
      <sz val="10"/>
      <color rgb="FFFF0000"/>
      <name val="Arial"/>
      <family val="2"/>
    </font>
    <font>
      <sz val="10"/>
      <color rgb="FF000000"/>
      <name val="Arial"/>
      <family val="2"/>
    </font>
    <font>
      <b/>
      <u/>
      <sz val="10"/>
      <color rgb="FF0000FF"/>
      <name val="Arial"/>
      <family val="2"/>
    </font>
    <font>
      <b/>
      <sz val="10"/>
      <color rgb="FF0000FF"/>
      <name val="Arial"/>
      <family val="2"/>
    </font>
    <font>
      <u/>
      <sz val="11"/>
      <color theme="10"/>
      <name val="MS PGothic"/>
      <family val="2"/>
      <scheme val="minor"/>
    </font>
    <font>
      <sz val="12"/>
      <color theme="1"/>
      <name val="MS PGothic"/>
      <family val="2"/>
      <scheme val="minor"/>
    </font>
    <font>
      <sz val="10"/>
      <color theme="1"/>
      <name val="Arial"/>
      <family val="2"/>
    </font>
    <font>
      <i/>
      <sz val="10"/>
      <color rgb="FF008000"/>
      <name val="Arial"/>
      <family val="2"/>
    </font>
    <font>
      <sz val="8"/>
      <name val="MS PGothic"/>
      <family val="2"/>
      <scheme val="minor"/>
    </font>
    <font>
      <b/>
      <sz val="11"/>
      <color rgb="FFFFFFFF"/>
      <name val="Arial"/>
      <family val="2"/>
    </font>
    <font>
      <sz val="11"/>
      <color theme="1"/>
      <name val="Arial"/>
      <family val="2"/>
    </font>
    <font>
      <sz val="8"/>
      <name val="MS PGothic"/>
      <family val="2"/>
      <scheme val="minor"/>
    </font>
    <font>
      <sz val="11"/>
      <name val="Arial"/>
      <family val="2"/>
    </font>
    <font>
      <b/>
      <sz val="11"/>
      <name val="Arial"/>
      <family val="2"/>
    </font>
    <font>
      <b/>
      <sz val="11"/>
      <color theme="1"/>
      <name val="Arial"/>
      <family val="2"/>
    </font>
    <font>
      <b/>
      <sz val="10"/>
      <color theme="1"/>
      <name val="Arial"/>
      <family val="2"/>
    </font>
    <font>
      <b/>
      <sz val="10"/>
      <name val="Arial"/>
      <family val="2"/>
    </font>
    <font>
      <sz val="10"/>
      <name val="Arial"/>
      <family val="2"/>
    </font>
    <font>
      <sz val="11"/>
      <color rgb="FF000000"/>
      <name val="MS PGothic"/>
      <family val="2"/>
      <scheme val="minor"/>
    </font>
  </fonts>
  <fills count="14">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theme="0"/>
        <bgColor theme="0"/>
      </patternFill>
    </fill>
    <fill>
      <patternFill patternType="solid">
        <fgColor rgb="FFD9E2F3"/>
        <bgColor rgb="FFD9E2F3"/>
      </patternFill>
    </fill>
    <fill>
      <patternFill patternType="solid">
        <fgColor rgb="FF000080"/>
        <bgColor rgb="FF333399"/>
      </patternFill>
    </fill>
    <fill>
      <patternFill patternType="solid">
        <fgColor rgb="FF000080"/>
        <bgColor rgb="FF00B050"/>
      </patternFill>
    </fill>
    <fill>
      <patternFill patternType="solid">
        <fgColor theme="8" tint="0.59999389629810485"/>
        <bgColor rgb="FF00B050"/>
      </patternFill>
    </fill>
    <fill>
      <patternFill patternType="solid">
        <fgColor theme="4" tint="0.79998168889431442"/>
        <bgColor rgb="FF00B050"/>
      </patternFill>
    </fill>
    <fill>
      <patternFill patternType="solid">
        <fgColor theme="4" tint="0.79998168889431442"/>
        <bgColor rgb="FF000080"/>
      </patternFill>
    </fill>
    <fill>
      <patternFill patternType="solid">
        <fgColor rgb="FFFFFF00"/>
        <bgColor rgb="FFFFFFFF"/>
      </patternFill>
    </fill>
    <fill>
      <patternFill patternType="solid">
        <fgColor theme="8" tint="0.59999389629810485"/>
        <bgColor rgb="FFFFFFFF"/>
      </patternFill>
    </fill>
    <fill>
      <patternFill patternType="solid">
        <fgColor theme="8" tint="0.59999389629810485"/>
        <bgColor indexed="64"/>
      </patternFill>
    </fill>
  </fills>
  <borders count="5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thin">
        <color rgb="FF000000"/>
      </left>
      <right style="hair">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top/>
      <bottom/>
      <diagonal/>
    </border>
    <border>
      <left/>
      <right style="hair">
        <color rgb="FF000000"/>
      </right>
      <top style="hair">
        <color rgb="FF000000"/>
      </top>
      <bottom style="hair">
        <color rgb="FF000000"/>
      </bottom>
      <diagonal/>
    </border>
    <border>
      <left style="thin">
        <color rgb="FF000000"/>
      </left>
      <right style="thin">
        <color indexed="64"/>
      </right>
      <top style="thin">
        <color rgb="FF000000"/>
      </top>
      <bottom style="thin">
        <color rgb="FF000000"/>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indexed="64"/>
      </left>
      <right style="hair">
        <color rgb="FF000000"/>
      </right>
      <top style="hair">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21" fillId="0" borderId="0" applyNumberFormat="0" applyFill="0" applyBorder="0" applyAlignment="0" applyProtection="0"/>
    <xf numFmtId="0" fontId="2" fillId="0" borderId="40"/>
    <xf numFmtId="0" fontId="1" fillId="0" borderId="40"/>
  </cellStyleXfs>
  <cellXfs count="190">
    <xf numFmtId="0" fontId="0" fillId="0" borderId="0" xfId="0" applyFont="1" applyAlignment="1"/>
    <xf numFmtId="0" fontId="3" fillId="0" borderId="0" xfId="0" applyFont="1"/>
    <xf numFmtId="0" fontId="3" fillId="0" borderId="0" xfId="0" applyFont="1" applyAlignment="1">
      <alignment horizontal="left"/>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3" fillId="0" borderId="0" xfId="0" applyFont="1" applyAlignment="1">
      <alignment horizontal="center" vertical="center"/>
    </xf>
    <xf numFmtId="0" fontId="8" fillId="2" borderId="1" xfId="0" applyFont="1" applyFill="1" applyBorder="1" applyAlignment="1">
      <alignment horizontal="left"/>
    </xf>
    <xf numFmtId="0" fontId="9" fillId="0" borderId="0" xfId="0" applyFont="1" applyAlignment="1">
      <alignment horizontal="left"/>
    </xf>
    <xf numFmtId="0" fontId="3" fillId="2" borderId="1" xfId="0" applyFont="1" applyFill="1" applyBorder="1"/>
    <xf numFmtId="0" fontId="8" fillId="2" borderId="5" xfId="0" applyFont="1" applyFill="1" applyBorder="1" applyAlignment="1">
      <alignment horizontal="left"/>
    </xf>
    <xf numFmtId="0" fontId="8" fillId="2" borderId="1" xfId="0" applyFont="1" applyFill="1" applyBorder="1"/>
    <xf numFmtId="0" fontId="8" fillId="0" borderId="0" xfId="0" applyFont="1" applyAlignment="1">
      <alignment horizontal="left"/>
    </xf>
    <xf numFmtId="0" fontId="3" fillId="0" borderId="0" xfId="0" applyFont="1" applyAlignment="1">
      <alignment vertical="center"/>
    </xf>
    <xf numFmtId="15" fontId="10" fillId="3" borderId="14" xfId="0" applyNumberFormat="1" applyFont="1" applyFill="1" applyBorder="1" applyAlignment="1">
      <alignment horizontal="center" vertical="center"/>
    </xf>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3" fillId="0" borderId="0" xfId="0" applyFont="1" applyAlignment="1">
      <alignment vertical="top"/>
    </xf>
    <xf numFmtId="49" fontId="3" fillId="0" borderId="18" xfId="0" applyNumberFormat="1" applyFont="1" applyBorder="1" applyAlignment="1">
      <alignment vertical="top"/>
    </xf>
    <xf numFmtId="0" fontId="3" fillId="0" borderId="18" xfId="0" applyFont="1" applyBorder="1" applyAlignment="1">
      <alignment vertical="top"/>
    </xf>
    <xf numFmtId="15" fontId="3" fillId="0" borderId="18" xfId="0" applyNumberFormat="1" applyFont="1" applyBorder="1" applyAlignment="1">
      <alignment vertical="top"/>
    </xf>
    <xf numFmtId="0" fontId="9" fillId="0" borderId="19" xfId="0" applyFont="1" applyBorder="1" applyAlignment="1">
      <alignment vertical="top" wrapText="1"/>
    </xf>
    <xf numFmtId="0" fontId="3" fillId="0" borderId="18" xfId="0" applyFont="1" applyBorder="1" applyAlignment="1">
      <alignment vertical="top" wrapText="1"/>
    </xf>
    <xf numFmtId="0" fontId="11" fillId="0" borderId="19" xfId="0" applyFont="1" applyBorder="1" applyAlignment="1">
      <alignment vertical="top"/>
    </xf>
    <xf numFmtId="0" fontId="3" fillId="0" borderId="19" xfId="0" applyFont="1" applyBorder="1" applyAlignment="1">
      <alignment vertical="top"/>
    </xf>
    <xf numFmtId="0" fontId="3" fillId="0" borderId="23" xfId="0" applyFont="1" applyBorder="1" applyAlignment="1">
      <alignment vertical="top"/>
    </xf>
    <xf numFmtId="0" fontId="3" fillId="0" borderId="24" xfId="0" applyFont="1" applyBorder="1" applyAlignment="1">
      <alignment vertical="top"/>
    </xf>
    <xf numFmtId="0" fontId="12" fillId="0" borderId="0" xfId="0" applyFont="1"/>
    <xf numFmtId="1" fontId="3" fillId="2" borderId="1" xfId="0" applyNumberFormat="1" applyFont="1" applyFill="1" applyBorder="1"/>
    <xf numFmtId="0" fontId="3" fillId="2" borderId="1" xfId="0" applyFont="1" applyFill="1" applyBorder="1" applyAlignment="1">
      <alignment horizontal="left"/>
    </xf>
    <xf numFmtId="0" fontId="6" fillId="2" borderId="1" xfId="0" applyFont="1" applyFill="1" applyBorder="1" applyAlignment="1">
      <alignment horizontal="left"/>
    </xf>
    <xf numFmtId="0" fontId="13" fillId="2" borderId="1" xfId="0" applyFont="1" applyFill="1" applyBorder="1" applyAlignment="1">
      <alignment horizontal="left"/>
    </xf>
    <xf numFmtId="0" fontId="14" fillId="2" borderId="1" xfId="0" applyFont="1" applyFill="1" applyBorder="1" applyAlignment="1">
      <alignment horizontal="left"/>
    </xf>
    <xf numFmtId="0" fontId="3" fillId="2" borderId="1" xfId="0" applyFont="1" applyFill="1" applyBorder="1" applyAlignment="1">
      <alignment wrapText="1"/>
    </xf>
    <xf numFmtId="1" fontId="8" fillId="2" borderId="1" xfId="0" applyNumberFormat="1" applyFont="1" applyFill="1" applyBorder="1"/>
    <xf numFmtId="0" fontId="3" fillId="2" borderId="1" xfId="0" applyFont="1" applyFill="1" applyBorder="1" applyAlignment="1">
      <alignment vertical="center"/>
    </xf>
    <xf numFmtId="1" fontId="3" fillId="2" borderId="1" xfId="0" applyNumberFormat="1" applyFont="1" applyFill="1" applyBorder="1" applyAlignment="1">
      <alignment vertical="center"/>
    </xf>
    <xf numFmtId="0" fontId="3" fillId="2" borderId="1" xfId="0" applyFont="1" applyFill="1" applyBorder="1" applyAlignment="1">
      <alignment horizontal="left" vertical="center"/>
    </xf>
    <xf numFmtId="0" fontId="15" fillId="2" borderId="1" xfId="0" applyFont="1" applyFill="1" applyBorder="1" applyAlignment="1">
      <alignment horizontal="center"/>
    </xf>
    <xf numFmtId="1" fontId="3" fillId="2" borderId="17" xfId="0" applyNumberFormat="1" applyFont="1" applyFill="1" applyBorder="1" applyAlignment="1">
      <alignment vertical="center"/>
    </xf>
    <xf numFmtId="49" fontId="3" fillId="2" borderId="18" xfId="0" applyNumberFormat="1" applyFont="1" applyFill="1" applyBorder="1" applyAlignment="1">
      <alignment horizontal="left" vertical="center"/>
    </xf>
    <xf numFmtId="0" fontId="16" fillId="2" borderId="18" xfId="0" applyFont="1" applyFill="1" applyBorder="1" applyAlignment="1">
      <alignment horizontal="left" vertical="center"/>
    </xf>
    <xf numFmtId="0" fontId="3" fillId="2" borderId="19" xfId="0" applyFont="1" applyFill="1" applyBorder="1" applyAlignment="1">
      <alignment horizontal="left" vertical="center"/>
    </xf>
    <xf numFmtId="0" fontId="3" fillId="2" borderId="18" xfId="0" applyFont="1" applyFill="1" applyBorder="1" applyAlignment="1">
      <alignment horizontal="left" vertical="center"/>
    </xf>
    <xf numFmtId="1" fontId="3" fillId="2" borderId="22" xfId="0" applyNumberFormat="1" applyFont="1" applyFill="1" applyBorder="1" applyAlignment="1">
      <alignment vertical="center"/>
    </xf>
    <xf numFmtId="49" fontId="3" fillId="2" borderId="23" xfId="0" applyNumberFormat="1" applyFont="1" applyFill="1" applyBorder="1" applyAlignment="1">
      <alignment horizontal="left" vertical="center"/>
    </xf>
    <xf numFmtId="0" fontId="3" fillId="2" borderId="23" xfId="0" applyFont="1" applyFill="1" applyBorder="1" applyAlignment="1">
      <alignment horizontal="left" vertical="center"/>
    </xf>
    <xf numFmtId="0" fontId="3" fillId="2" borderId="24" xfId="0" applyFont="1" applyFill="1" applyBorder="1" applyAlignment="1">
      <alignment horizontal="left" vertical="center"/>
    </xf>
    <xf numFmtId="0" fontId="17" fillId="2" borderId="1" xfId="0" applyFont="1" applyFill="1" applyBorder="1" applyAlignment="1">
      <alignment vertical="top" wrapText="1"/>
    </xf>
    <xf numFmtId="0" fontId="15" fillId="4" borderId="1" xfId="0" applyFont="1" applyFill="1" applyBorder="1" applyAlignment="1">
      <alignment horizontal="left" vertical="top" wrapText="1"/>
    </xf>
    <xf numFmtId="0" fontId="18" fillId="0" borderId="0" xfId="0" applyFont="1"/>
    <xf numFmtId="0" fontId="15" fillId="4" borderId="1" xfId="0" applyFont="1" applyFill="1" applyBorder="1" applyAlignment="1">
      <alignment horizontal="left" vertical="center" wrapText="1"/>
    </xf>
    <xf numFmtId="0" fontId="19" fillId="5" borderId="26" xfId="0" applyFont="1" applyFill="1" applyBorder="1" applyAlignment="1">
      <alignment horizontal="left" vertical="center" wrapText="1"/>
    </xf>
    <xf numFmtId="0" fontId="15" fillId="5" borderId="28" xfId="0" applyFont="1" applyFill="1" applyBorder="1" applyAlignment="1">
      <alignment horizontal="left" vertical="center" wrapText="1"/>
    </xf>
    <xf numFmtId="0" fontId="15" fillId="5" borderId="31" xfId="0" applyFont="1" applyFill="1" applyBorder="1" applyAlignment="1">
      <alignment horizontal="left" vertical="center" wrapText="1"/>
    </xf>
    <xf numFmtId="0" fontId="15" fillId="5" borderId="32"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5" fillId="5" borderId="33" xfId="0" applyFont="1" applyFill="1" applyBorder="1" applyAlignment="1">
      <alignment horizontal="right" vertical="center" wrapText="1"/>
    </xf>
    <xf numFmtId="0" fontId="15" fillId="5" borderId="34" xfId="0" applyFont="1" applyFill="1" applyBorder="1" applyAlignment="1">
      <alignment horizontal="center" vertical="center" wrapText="1"/>
    </xf>
    <xf numFmtId="0" fontId="18" fillId="2" borderId="1" xfId="0" applyFont="1" applyFill="1" applyBorder="1"/>
    <xf numFmtId="0" fontId="18" fillId="2" borderId="1" xfId="0" applyFont="1" applyFill="1" applyBorder="1" applyAlignment="1">
      <alignment horizontal="center" wrapText="1"/>
    </xf>
    <xf numFmtId="0" fontId="3" fillId="2" borderId="1" xfId="0" applyFont="1" applyFill="1" applyBorder="1" applyAlignment="1">
      <alignment horizontal="center" wrapText="1"/>
    </xf>
    <xf numFmtId="0" fontId="14" fillId="5" borderId="26" xfId="0" applyFont="1" applyFill="1" applyBorder="1" applyAlignment="1">
      <alignment horizontal="center" wrapText="1"/>
    </xf>
    <xf numFmtId="0" fontId="14" fillId="5" borderId="27" xfId="0" applyFont="1" applyFill="1" applyBorder="1" applyAlignment="1">
      <alignment horizontal="center" wrapText="1"/>
    </xf>
    <xf numFmtId="0" fontId="15" fillId="5" borderId="28" xfId="0" applyFont="1" applyFill="1" applyBorder="1" applyAlignment="1">
      <alignment horizontal="center" wrapText="1"/>
    </xf>
    <xf numFmtId="0" fontId="14" fillId="5" borderId="30" xfId="0" applyFont="1" applyFill="1" applyBorder="1" applyAlignment="1">
      <alignment horizontal="center" wrapText="1"/>
    </xf>
    <xf numFmtId="0" fontId="15" fillId="2" borderId="1" xfId="0" applyFont="1" applyFill="1" applyBorder="1"/>
    <xf numFmtId="15" fontId="3" fillId="2" borderId="1" xfId="0" applyNumberFormat="1" applyFont="1" applyFill="1" applyBorder="1"/>
    <xf numFmtId="0" fontId="8" fillId="2" borderId="5" xfId="0" applyFont="1" applyFill="1" applyBorder="1" applyAlignment="1">
      <alignment horizontal="left" vertical="center"/>
    </xf>
    <xf numFmtId="0" fontId="8" fillId="2" borderId="39" xfId="0" applyFont="1" applyFill="1" applyBorder="1" applyAlignment="1">
      <alignment horizontal="left"/>
    </xf>
    <xf numFmtId="0" fontId="3" fillId="2" borderId="39" xfId="0" applyFont="1" applyFill="1" applyBorder="1" applyAlignment="1">
      <alignment vertical="top"/>
    </xf>
    <xf numFmtId="0" fontId="8" fillId="2" borderId="5" xfId="0" applyFont="1" applyFill="1" applyBorder="1" applyAlignment="1">
      <alignment vertical="center"/>
    </xf>
    <xf numFmtId="0" fontId="9" fillId="2" borderId="39" xfId="0" applyFont="1" applyFill="1" applyBorder="1" applyAlignment="1">
      <alignment vertical="top"/>
    </xf>
    <xf numFmtId="0" fontId="9" fillId="2" borderId="1" xfId="0" applyFont="1" applyFill="1" applyBorder="1"/>
    <xf numFmtId="0" fontId="3" fillId="2" borderId="40" xfId="0" applyFont="1" applyFill="1" applyBorder="1"/>
    <xf numFmtId="0" fontId="3" fillId="2" borderId="1" xfId="0" applyFont="1" applyFill="1" applyBorder="1" applyAlignment="1">
      <alignment horizontal="center"/>
    </xf>
    <xf numFmtId="10" fontId="3" fillId="2" borderId="1" xfId="0" applyNumberFormat="1" applyFont="1" applyFill="1" applyBorder="1" applyAlignment="1">
      <alignment horizontal="center"/>
    </xf>
    <xf numFmtId="9" fontId="3" fillId="2" borderId="1" xfId="0" applyNumberFormat="1" applyFont="1" applyFill="1" applyBorder="1" applyAlignment="1">
      <alignment horizontal="center"/>
    </xf>
    <xf numFmtId="0" fontId="20" fillId="2" borderId="1" xfId="0" applyFont="1" applyFill="1" applyBorder="1" applyAlignment="1">
      <alignment horizontal="right" wrapText="1"/>
    </xf>
    <xf numFmtId="1" fontId="20" fillId="2" borderId="1" xfId="0" applyNumberFormat="1" applyFont="1" applyFill="1" applyBorder="1" applyAlignment="1">
      <alignment horizontal="right" wrapText="1"/>
    </xf>
    <xf numFmtId="0" fontId="22" fillId="2" borderId="23" xfId="0" applyFont="1" applyFill="1" applyBorder="1" applyAlignment="1">
      <alignment horizontal="left" vertical="center"/>
    </xf>
    <xf numFmtId="0" fontId="21" fillId="2" borderId="18" xfId="1" applyFill="1" applyBorder="1" applyAlignment="1">
      <alignment horizontal="left" vertical="center"/>
    </xf>
    <xf numFmtId="49" fontId="23" fillId="2" borderId="18" xfId="0" applyNumberFormat="1" applyFont="1" applyFill="1" applyBorder="1" applyAlignment="1">
      <alignment horizontal="left" vertical="center"/>
    </xf>
    <xf numFmtId="0" fontId="23" fillId="5" borderId="29" xfId="0" applyFont="1" applyFill="1" applyBorder="1" applyAlignment="1">
      <alignment horizontal="left" vertical="center" wrapText="1"/>
    </xf>
    <xf numFmtId="0" fontId="24" fillId="0" borderId="42" xfId="0" applyFont="1" applyBorder="1" applyAlignment="1"/>
    <xf numFmtId="0" fontId="15" fillId="5" borderId="43" xfId="0" applyFont="1" applyFill="1" applyBorder="1" applyAlignment="1">
      <alignment horizontal="center" wrapText="1"/>
    </xf>
    <xf numFmtId="0" fontId="14" fillId="5" borderId="44" xfId="0" applyFont="1" applyFill="1" applyBorder="1" applyAlignment="1">
      <alignment horizontal="center" wrapText="1"/>
    </xf>
    <xf numFmtId="0" fontId="18" fillId="2" borderId="40" xfId="0" applyFont="1" applyFill="1" applyBorder="1"/>
    <xf numFmtId="1" fontId="10" fillId="6" borderId="14" xfId="0" applyNumberFormat="1" applyFont="1" applyFill="1" applyBorder="1" applyAlignment="1">
      <alignment horizontal="center" vertical="center"/>
    </xf>
    <xf numFmtId="0" fontId="10" fillId="6" borderId="15" xfId="0" applyFont="1" applyFill="1" applyBorder="1" applyAlignment="1">
      <alignment horizontal="center" vertical="center"/>
    </xf>
    <xf numFmtId="0" fontId="10" fillId="6" borderId="25" xfId="0" applyFont="1" applyFill="1" applyBorder="1" applyAlignment="1">
      <alignment horizontal="center" vertical="center"/>
    </xf>
    <xf numFmtId="0" fontId="10" fillId="6" borderId="16" xfId="0" applyFont="1" applyFill="1" applyBorder="1" applyAlignment="1">
      <alignment horizontal="center" vertical="center"/>
    </xf>
    <xf numFmtId="0" fontId="27" fillId="2" borderId="36" xfId="0" applyFont="1" applyFill="1" applyBorder="1" applyAlignment="1">
      <alignment vertical="center" wrapText="1"/>
    </xf>
    <xf numFmtId="0" fontId="27" fillId="2" borderId="5" xfId="0" quotePrefix="1" applyFont="1" applyFill="1" applyBorder="1" applyAlignment="1">
      <alignment vertical="center" wrapText="1"/>
    </xf>
    <xf numFmtId="0" fontId="23" fillId="0" borderId="18" xfId="0" applyFont="1" applyBorder="1" applyAlignment="1">
      <alignment vertical="top"/>
    </xf>
    <xf numFmtId="0" fontId="23" fillId="0" borderId="18" xfId="0" applyFont="1" applyBorder="1" applyAlignment="1">
      <alignment vertical="top" wrapText="1"/>
    </xf>
    <xf numFmtId="164" fontId="23" fillId="0" borderId="17" xfId="0" applyNumberFormat="1" applyFont="1" applyBorder="1" applyAlignment="1">
      <alignment horizontal="center" vertical="center"/>
    </xf>
    <xf numFmtId="0" fontId="3" fillId="0" borderId="0" xfId="0" applyFont="1" applyAlignment="1">
      <alignment horizontal="center"/>
    </xf>
    <xf numFmtId="0" fontId="23" fillId="0" borderId="18" xfId="0" applyFont="1" applyBorder="1" applyAlignment="1">
      <alignment horizontal="center" vertical="top"/>
    </xf>
    <xf numFmtId="0" fontId="3" fillId="0" borderId="45" xfId="0" applyFont="1" applyBorder="1" applyAlignment="1">
      <alignment vertical="top"/>
    </xf>
    <xf numFmtId="164" fontId="23" fillId="0" borderId="41" xfId="0" applyNumberFormat="1" applyFont="1" applyBorder="1" applyAlignment="1">
      <alignment vertical="center"/>
    </xf>
    <xf numFmtId="0" fontId="3" fillId="0" borderId="46" xfId="0" applyFont="1" applyBorder="1" applyAlignment="1">
      <alignment vertical="top"/>
    </xf>
    <xf numFmtId="0" fontId="3" fillId="0" borderId="46" xfId="0" applyFont="1" applyBorder="1"/>
    <xf numFmtId="0" fontId="27" fillId="2" borderId="36" xfId="0" quotePrefix="1" applyFont="1" applyFill="1" applyBorder="1" applyAlignment="1">
      <alignment vertical="center" wrapText="1"/>
    </xf>
    <xf numFmtId="0" fontId="27" fillId="2" borderId="3" xfId="0" applyFont="1" applyFill="1" applyBorder="1" applyAlignment="1">
      <alignment vertical="center" wrapText="1"/>
    </xf>
    <xf numFmtId="0" fontId="29" fillId="2" borderId="5" xfId="0" quotePrefix="1" applyFont="1" applyFill="1" applyBorder="1" applyAlignment="1">
      <alignment vertical="center" wrapText="1"/>
    </xf>
    <xf numFmtId="0" fontId="26" fillId="7" borderId="39" xfId="0" applyFont="1" applyFill="1" applyBorder="1" applyAlignment="1">
      <alignment vertical="center" wrapText="1"/>
    </xf>
    <xf numFmtId="0" fontId="30" fillId="7" borderId="39" xfId="0" applyFont="1" applyFill="1" applyBorder="1" applyAlignment="1">
      <alignment vertical="center" wrapText="1"/>
    </xf>
    <xf numFmtId="0" fontId="30" fillId="9" borderId="5" xfId="0" applyFont="1" applyFill="1" applyBorder="1" applyAlignment="1">
      <alignment horizontal="center" vertical="center" wrapText="1"/>
    </xf>
    <xf numFmtId="0" fontId="30" fillId="9" borderId="35" xfId="0" applyFont="1" applyFill="1" applyBorder="1" applyAlignment="1">
      <alignment horizontal="center" vertical="center" wrapText="1"/>
    </xf>
    <xf numFmtId="0" fontId="30" fillId="10" borderId="35" xfId="0" applyFont="1" applyFill="1" applyBorder="1" applyAlignment="1">
      <alignment horizontal="center" vertical="center" wrapText="1"/>
    </xf>
    <xf numFmtId="0" fontId="30" fillId="10" borderId="35" xfId="0" applyFont="1" applyFill="1" applyBorder="1" applyAlignment="1">
      <alignment horizontal="center" wrapText="1"/>
    </xf>
    <xf numFmtId="0" fontId="30" fillId="9" borderId="35" xfId="0" applyFont="1" applyFill="1" applyBorder="1" applyAlignment="1">
      <alignment horizontal="center" wrapText="1"/>
    </xf>
    <xf numFmtId="0" fontId="30" fillId="8" borderId="3" xfId="0" applyFont="1" applyFill="1" applyBorder="1" applyAlignment="1">
      <alignment horizontal="left" vertical="center" wrapText="1"/>
    </xf>
    <xf numFmtId="0" fontId="30" fillId="8" borderId="36" xfId="0" applyFont="1" applyFill="1" applyBorder="1" applyAlignment="1">
      <alignment horizontal="left" vertical="center" wrapText="1"/>
    </xf>
    <xf numFmtId="0" fontId="30" fillId="9" borderId="5" xfId="0" applyFont="1" applyFill="1" applyBorder="1" applyAlignment="1">
      <alignment horizontal="center" wrapText="1"/>
    </xf>
    <xf numFmtId="0" fontId="30" fillId="8" borderId="11" xfId="0" applyFont="1" applyFill="1" applyBorder="1" applyAlignment="1">
      <alignment horizontal="left" vertical="center" wrapText="1"/>
    </xf>
    <xf numFmtId="0" fontId="26" fillId="7" borderId="13" xfId="0" applyFont="1" applyFill="1" applyBorder="1" applyAlignment="1">
      <alignment vertical="center" wrapText="1"/>
    </xf>
    <xf numFmtId="0" fontId="30" fillId="9" borderId="47" xfId="0" applyFont="1" applyFill="1" applyBorder="1" applyAlignment="1">
      <alignment horizontal="center" wrapText="1"/>
    </xf>
    <xf numFmtId="0" fontId="30" fillId="10" borderId="47" xfId="0" applyFont="1" applyFill="1" applyBorder="1" applyAlignment="1">
      <alignment horizontal="center" wrapText="1"/>
    </xf>
    <xf numFmtId="0" fontId="30" fillId="8" borderId="3" xfId="0" applyFont="1" applyFill="1" applyBorder="1" applyAlignment="1">
      <alignment horizontal="left" vertical="center" wrapText="1"/>
    </xf>
    <xf numFmtId="0" fontId="30" fillId="9" borderId="48" xfId="0" applyFont="1" applyFill="1" applyBorder="1" applyAlignment="1">
      <alignment horizontal="center" vertical="center" wrapText="1"/>
    </xf>
    <xf numFmtId="0" fontId="30" fillId="10" borderId="48" xfId="0" applyFont="1" applyFill="1" applyBorder="1" applyAlignment="1">
      <alignment horizontal="center" vertical="center" wrapText="1"/>
    </xf>
    <xf numFmtId="0" fontId="30" fillId="10" borderId="48" xfId="0" applyFont="1" applyFill="1" applyBorder="1" applyAlignment="1">
      <alignment horizontal="center" wrapText="1"/>
    </xf>
    <xf numFmtId="0" fontId="30" fillId="9" borderId="48" xfId="0" applyFont="1" applyFill="1" applyBorder="1" applyAlignment="1">
      <alignment horizontal="center" wrapText="1"/>
    </xf>
    <xf numFmtId="0" fontId="30" fillId="8" borderId="49" xfId="0" applyFont="1" applyFill="1" applyBorder="1" applyAlignment="1">
      <alignment vertical="center" wrapText="1"/>
    </xf>
    <xf numFmtId="0" fontId="30" fillId="8" borderId="50" xfId="0" applyFont="1" applyFill="1" applyBorder="1" applyAlignment="1">
      <alignment vertical="center" wrapText="1"/>
    </xf>
    <xf numFmtId="0" fontId="30" fillId="9" borderId="47" xfId="0" applyFont="1" applyFill="1" applyBorder="1" applyAlignment="1">
      <alignment horizontal="center" vertical="center" wrapText="1"/>
    </xf>
    <xf numFmtId="0" fontId="30" fillId="10" borderId="47" xfId="0" applyFont="1" applyFill="1" applyBorder="1" applyAlignment="1">
      <alignment horizontal="center" vertical="center" wrapText="1"/>
    </xf>
    <xf numFmtId="0" fontId="26" fillId="7" borderId="47" xfId="0" applyFont="1" applyFill="1" applyBorder="1" applyAlignment="1">
      <alignment vertical="center" wrapText="1"/>
    </xf>
    <xf numFmtId="0" fontId="27" fillId="2" borderId="47" xfId="0" quotePrefix="1" applyFont="1" applyFill="1" applyBorder="1" applyAlignment="1">
      <alignment vertical="center" wrapText="1"/>
    </xf>
    <xf numFmtId="0" fontId="30" fillId="8" borderId="47" xfId="0" applyFont="1" applyFill="1" applyBorder="1" applyAlignment="1">
      <alignment horizontal="left" vertical="center" wrapText="1"/>
    </xf>
    <xf numFmtId="0" fontId="30" fillId="8" borderId="47" xfId="0" applyFont="1" applyFill="1" applyBorder="1" applyAlignment="1">
      <alignment horizontal="left" vertical="center" wrapText="1"/>
    </xf>
    <xf numFmtId="0" fontId="3" fillId="11" borderId="40" xfId="0" applyFont="1" applyFill="1" applyBorder="1"/>
    <xf numFmtId="0" fontId="3" fillId="11" borderId="1" xfId="0" applyFont="1" applyFill="1" applyBorder="1"/>
    <xf numFmtId="0" fontId="32" fillId="5" borderId="28" xfId="0" applyFont="1" applyFill="1" applyBorder="1" applyAlignment="1">
      <alignment horizontal="center" wrapText="1"/>
    </xf>
    <xf numFmtId="0" fontId="33" fillId="10" borderId="47" xfId="0" applyFont="1" applyFill="1" applyBorder="1" applyAlignment="1">
      <alignment horizontal="center"/>
    </xf>
    <xf numFmtId="0" fontId="33" fillId="10" borderId="47" xfId="0" applyFont="1" applyFill="1" applyBorder="1" applyAlignment="1">
      <alignment horizontal="center" wrapText="1"/>
    </xf>
    <xf numFmtId="0" fontId="3" fillId="2" borderId="47" xfId="0" applyFont="1" applyFill="1" applyBorder="1" applyAlignment="1">
      <alignment horizontal="center"/>
    </xf>
    <xf numFmtId="49" fontId="3" fillId="2" borderId="47" xfId="0" applyNumberFormat="1" applyFont="1" applyFill="1" applyBorder="1"/>
    <xf numFmtId="0" fontId="3" fillId="2" borderId="47" xfId="0" applyFont="1" applyFill="1" applyBorder="1"/>
    <xf numFmtId="0" fontId="34" fillId="10" borderId="47" xfId="0" applyFont="1" applyFill="1" applyBorder="1" applyAlignment="1">
      <alignment horizontal="center"/>
    </xf>
    <xf numFmtId="0" fontId="33" fillId="10" borderId="47" xfId="0" applyFont="1" applyFill="1" applyBorder="1"/>
    <xf numFmtId="0" fontId="26" fillId="8" borderId="39" xfId="0" applyFont="1" applyFill="1" applyBorder="1" applyAlignment="1">
      <alignment vertical="center" wrapText="1"/>
    </xf>
    <xf numFmtId="0" fontId="27" fillId="2" borderId="35" xfId="0" quotePrefix="1" applyFont="1" applyFill="1" applyBorder="1" applyAlignment="1">
      <alignment vertical="center" wrapText="1"/>
    </xf>
    <xf numFmtId="0" fontId="27" fillId="2" borderId="10" xfId="0" quotePrefix="1" applyFont="1" applyFill="1" applyBorder="1" applyAlignment="1">
      <alignment vertical="center" wrapText="1"/>
    </xf>
    <xf numFmtId="0" fontId="30" fillId="8" borderId="47" xfId="0" applyFont="1" applyFill="1" applyBorder="1" applyAlignment="1">
      <alignment vertical="center" wrapText="1"/>
    </xf>
    <xf numFmtId="0" fontId="3" fillId="5" borderId="29" xfId="0" applyFont="1" applyFill="1" applyBorder="1" applyAlignment="1">
      <alignment horizontal="left" vertical="center" wrapText="1"/>
    </xf>
    <xf numFmtId="0" fontId="18" fillId="0" borderId="0" xfId="0" applyFont="1" applyAlignment="1">
      <alignment wrapText="1"/>
    </xf>
    <xf numFmtId="0" fontId="0" fillId="0" borderId="0" xfId="0" applyFont="1" applyAlignment="1">
      <alignment wrapText="1"/>
    </xf>
    <xf numFmtId="0" fontId="3" fillId="2" borderId="40" xfId="0" applyFont="1" applyFill="1" applyBorder="1" applyAlignment="1">
      <alignment wrapText="1"/>
    </xf>
    <xf numFmtId="0" fontId="0" fillId="0" borderId="47" xfId="0" applyFont="1" applyBorder="1" applyAlignment="1">
      <alignment vertical="center" wrapText="1"/>
    </xf>
    <xf numFmtId="0" fontId="27" fillId="12" borderId="47" xfId="0" quotePrefix="1" applyFont="1" applyFill="1" applyBorder="1" applyAlignment="1">
      <alignment vertical="center" wrapText="1"/>
    </xf>
    <xf numFmtId="0" fontId="0" fillId="13" borderId="47" xfId="0" applyFont="1" applyFill="1" applyBorder="1" applyAlignment="1">
      <alignment vertical="center" wrapText="1"/>
    </xf>
    <xf numFmtId="164" fontId="23" fillId="0" borderId="20" xfId="0" applyNumberFormat="1" applyFont="1" applyBorder="1" applyAlignment="1">
      <alignment horizontal="center" vertical="center"/>
    </xf>
    <xf numFmtId="164" fontId="23" fillId="0" borderId="21" xfId="0" applyNumberFormat="1" applyFont="1" applyBorder="1" applyAlignment="1">
      <alignment horizontal="center" vertical="center"/>
    </xf>
    <xf numFmtId="0" fontId="6" fillId="0" borderId="2" xfId="0" applyFont="1" applyBorder="1" applyAlignment="1">
      <alignment horizontal="center" vertical="center"/>
    </xf>
    <xf numFmtId="0" fontId="7" fillId="0" borderId="3" xfId="0" applyFont="1" applyBorder="1"/>
    <xf numFmtId="0" fontId="7" fillId="0" borderId="4" xfId="0" applyFont="1" applyBorder="1"/>
    <xf numFmtId="0" fontId="24" fillId="0" borderId="2" xfId="0" applyFont="1" applyBorder="1" applyAlignment="1">
      <alignment horizontal="left"/>
    </xf>
    <xf numFmtId="0" fontId="9" fillId="0" borderId="2" xfId="0" applyFont="1" applyBorder="1" applyAlignment="1">
      <alignment horizontal="left"/>
    </xf>
    <xf numFmtId="0" fontId="8" fillId="2" borderId="6" xfId="0" applyFont="1" applyFill="1" applyBorder="1" applyAlignment="1">
      <alignment horizontal="left" vertical="center"/>
    </xf>
    <xf numFmtId="0" fontId="7" fillId="0" borderId="10" xfId="0" applyFont="1" applyBorder="1"/>
    <xf numFmtId="0" fontId="9" fillId="0" borderId="7" xfId="0" applyFont="1" applyBorder="1" applyAlignment="1">
      <alignment horizontal="left" vertical="center"/>
    </xf>
    <xf numFmtId="0" fontId="7" fillId="0" borderId="8" xfId="0" applyFont="1" applyBorder="1"/>
    <xf numFmtId="0" fontId="7" fillId="0" borderId="9" xfId="0" applyFont="1" applyBorder="1"/>
    <xf numFmtId="0" fontId="7" fillId="0" borderId="11" xfId="0" applyFont="1" applyBorder="1"/>
    <xf numFmtId="0" fontId="7" fillId="0" borderId="12" xfId="0" applyFont="1" applyBorder="1"/>
    <xf numFmtId="0" fontId="7" fillId="0" borderId="13" xfId="0" applyFont="1" applyBorder="1"/>
    <xf numFmtId="1" fontId="8" fillId="2" borderId="2" xfId="0" applyNumberFormat="1" applyFont="1" applyFill="1" applyBorder="1"/>
    <xf numFmtId="0" fontId="9" fillId="2" borderId="2" xfId="0" applyFont="1" applyFill="1" applyBorder="1" applyAlignment="1">
      <alignment horizontal="left"/>
    </xf>
    <xf numFmtId="1" fontId="8" fillId="2" borderId="2" xfId="0" applyNumberFormat="1" applyFont="1" applyFill="1" applyBorder="1" applyAlignment="1">
      <alignment vertical="center" wrapText="1"/>
    </xf>
    <xf numFmtId="0" fontId="9" fillId="2" borderId="2" xfId="0" applyFont="1" applyFill="1" applyBorder="1" applyAlignment="1">
      <alignment vertical="top" wrapText="1"/>
    </xf>
    <xf numFmtId="0" fontId="30" fillId="8" borderId="36" xfId="0" applyFont="1" applyFill="1" applyBorder="1" applyAlignment="1">
      <alignment horizontal="left" vertical="center" wrapText="1"/>
    </xf>
    <xf numFmtId="0" fontId="30" fillId="8" borderId="3" xfId="0" applyFont="1" applyFill="1" applyBorder="1" applyAlignment="1">
      <alignment horizontal="left" vertical="center" wrapText="1"/>
    </xf>
    <xf numFmtId="0" fontId="30" fillId="8" borderId="11" xfId="0" applyFont="1" applyFill="1" applyBorder="1" applyAlignment="1">
      <alignment horizontal="left" vertical="center" wrapText="1"/>
    </xf>
    <xf numFmtId="0" fontId="30" fillId="8" borderId="12" xfId="0" applyFont="1" applyFill="1" applyBorder="1" applyAlignment="1">
      <alignment horizontal="left" vertical="center" wrapText="1"/>
    </xf>
    <xf numFmtId="0" fontId="30" fillId="8" borderId="50" xfId="0" applyFont="1" applyFill="1" applyBorder="1" applyAlignment="1">
      <alignment horizontal="left" vertical="center" wrapText="1"/>
    </xf>
    <xf numFmtId="0" fontId="30" fillId="8" borderId="49" xfId="0" applyFont="1" applyFill="1" applyBorder="1" applyAlignment="1">
      <alignment horizontal="left" vertical="center" wrapText="1"/>
    </xf>
    <xf numFmtId="0" fontId="30" fillId="8" borderId="51" xfId="0" applyFont="1" applyFill="1" applyBorder="1" applyAlignment="1">
      <alignment horizontal="left" vertical="center" wrapText="1"/>
    </xf>
    <xf numFmtId="0" fontId="30" fillId="8" borderId="52" xfId="0" applyFont="1" applyFill="1" applyBorder="1" applyAlignment="1">
      <alignment horizontal="left" vertical="center" wrapText="1"/>
    </xf>
    <xf numFmtId="0" fontId="30" fillId="8" borderId="47" xfId="0" applyFont="1" applyFill="1" applyBorder="1" applyAlignment="1">
      <alignment horizontal="left" vertical="center" wrapText="1"/>
    </xf>
    <xf numFmtId="0" fontId="30" fillId="8" borderId="53" xfId="0" applyFont="1" applyFill="1" applyBorder="1" applyAlignment="1">
      <alignment horizontal="left" vertical="center" wrapText="1"/>
    </xf>
    <xf numFmtId="0" fontId="30" fillId="8" borderId="54" xfId="0" applyFont="1" applyFill="1" applyBorder="1" applyAlignment="1">
      <alignment horizontal="left" vertical="center" wrapText="1"/>
    </xf>
    <xf numFmtId="0" fontId="30" fillId="8" borderId="55" xfId="0" applyFont="1" applyFill="1" applyBorder="1" applyAlignment="1">
      <alignment horizontal="left" vertical="center" wrapText="1"/>
    </xf>
    <xf numFmtId="0" fontId="31" fillId="8" borderId="36" xfId="0" applyFont="1" applyFill="1" applyBorder="1" applyAlignment="1">
      <alignment horizontal="left" vertical="center" wrapText="1"/>
    </xf>
    <xf numFmtId="0" fontId="31" fillId="8" borderId="3" xfId="0" applyFont="1" applyFill="1" applyBorder="1" applyAlignment="1">
      <alignment horizontal="left" vertical="center" wrapText="1"/>
    </xf>
    <xf numFmtId="0" fontId="8" fillId="2" borderId="2" xfId="0" applyFont="1" applyFill="1" applyBorder="1" applyAlignment="1">
      <alignment horizontal="left"/>
    </xf>
    <xf numFmtId="0" fontId="9" fillId="2" borderId="2" xfId="0" applyFont="1" applyFill="1" applyBorder="1" applyAlignment="1">
      <alignment vertical="top"/>
    </xf>
    <xf numFmtId="0" fontId="6" fillId="2" borderId="37" xfId="0" applyFont="1" applyFill="1" applyBorder="1" applyAlignment="1">
      <alignment horizontal="center"/>
    </xf>
    <xf numFmtId="0" fontId="7" fillId="0" borderId="38" xfId="0" applyFont="1" applyBorder="1"/>
  </cellXfs>
  <cellStyles count="4">
    <cellStyle name="Hyperlink" xfId="1" builtinId="8"/>
    <cellStyle name="Normal" xfId="0" builtinId="0"/>
    <cellStyle name="Normal 2" xfId="2" xr:uid="{9DBBB38F-37AE-41C3-A76E-41AEA78B039C}"/>
    <cellStyle name="Normal 3" xfId="3" xr:uid="{6CC8A779-E9F7-45CE-BE43-6DA9D8776DB5}"/>
  </cellStyles>
  <dxfs count="0"/>
  <tableStyles count="0" defaultTableStyle="TableStyleMedium2" defaultPivotStyle="PivotStyleLight16"/>
  <colors>
    <mruColors>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2</xdr:col>
      <xdr:colOff>1047750</xdr:colOff>
      <xdr:row>0</xdr:row>
      <xdr:rowOff>219075</xdr:rowOff>
    </xdr:from>
    <xdr:ext cx="209550" cy="304800"/>
    <xdr:sp macro="" textlink="">
      <xdr:nvSpPr>
        <xdr:cNvPr id="3" name="Shape 3">
          <a:extLst>
            <a:ext uri="{FF2B5EF4-FFF2-40B4-BE49-F238E27FC236}">
              <a16:creationId xmlns:a16="http://schemas.microsoft.com/office/drawing/2014/main" id="{00000000-0008-0000-0100-000003000000}"/>
            </a:ext>
          </a:extLst>
        </xdr:cNvPr>
        <xdr:cNvSpPr/>
      </xdr:nvSpPr>
      <xdr:spPr>
        <a:xfrm>
          <a:off x="5245988" y="3632363"/>
          <a:ext cx="200025"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Validation"/>
      <sheetName val="Giới thiệu"/>
      <sheetName val="Gi?i thi?u"/>
      <sheetName val="Gi_i thi_u"/>
      <sheetName val="Sheet2"/>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D35" sqref="D35"/>
    </sheetView>
  </sheetViews>
  <sheetFormatPr defaultColWidth="12.625" defaultRowHeight="15" customHeight="1" x14ac:dyDescent="0.15"/>
  <cols>
    <col min="1" max="1" width="2.25" customWidth="1"/>
    <col min="2" max="2" width="19.625" customWidth="1"/>
    <col min="3" max="3" width="9.25" customWidth="1"/>
    <col min="4" max="4" width="20.625" bestFit="1" customWidth="1"/>
    <col min="5" max="5" width="8" customWidth="1"/>
    <col min="6" max="6" width="31.125" customWidth="1"/>
    <col min="7" max="7" width="31" customWidth="1"/>
    <col min="8" max="17" width="9" customWidth="1"/>
    <col min="18" max="26" width="8" customWidth="1"/>
  </cols>
  <sheetData>
    <row r="1" spans="1:26" ht="12.75" customHeight="1" x14ac:dyDescent="0.2">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15">
      <c r="A2" s="3"/>
      <c r="B2" s="4"/>
      <c r="C2" s="155" t="s">
        <v>0</v>
      </c>
      <c r="D2" s="156"/>
      <c r="E2" s="156"/>
      <c r="F2" s="156"/>
      <c r="G2" s="157"/>
      <c r="H2" s="5"/>
      <c r="I2" s="5"/>
      <c r="J2" s="5"/>
      <c r="K2" s="5"/>
      <c r="L2" s="5"/>
      <c r="M2" s="5"/>
      <c r="N2" s="5"/>
      <c r="O2" s="5"/>
      <c r="P2" s="5"/>
      <c r="Q2" s="5"/>
      <c r="R2" s="5"/>
      <c r="S2" s="5"/>
      <c r="T2" s="5"/>
      <c r="U2" s="5"/>
      <c r="V2" s="5"/>
      <c r="W2" s="5"/>
      <c r="X2" s="5"/>
      <c r="Y2" s="5"/>
      <c r="Z2" s="5"/>
    </row>
    <row r="3" spans="1:26" ht="12.75" customHeight="1" x14ac:dyDescent="0.2">
      <c r="A3" s="1"/>
      <c r="B3" s="6"/>
      <c r="C3" s="7"/>
      <c r="D3" s="1"/>
      <c r="E3" s="1"/>
      <c r="F3" s="8"/>
      <c r="G3" s="1"/>
      <c r="H3" s="1"/>
      <c r="I3" s="1"/>
      <c r="J3" s="1"/>
      <c r="K3" s="1"/>
      <c r="L3" s="1"/>
      <c r="M3" s="1"/>
      <c r="N3" s="1"/>
      <c r="O3" s="1"/>
      <c r="P3" s="1"/>
      <c r="Q3" s="1"/>
      <c r="R3" s="1"/>
      <c r="S3" s="1"/>
      <c r="T3" s="1"/>
      <c r="U3" s="1"/>
      <c r="V3" s="1"/>
      <c r="W3" s="1"/>
      <c r="X3" s="1"/>
      <c r="Y3" s="1"/>
      <c r="Z3" s="1"/>
    </row>
    <row r="4" spans="1:26" ht="14.25" customHeight="1" x14ac:dyDescent="0.2">
      <c r="A4" s="1"/>
      <c r="B4" s="9" t="s">
        <v>1</v>
      </c>
      <c r="C4" s="158" t="s">
        <v>51</v>
      </c>
      <c r="D4" s="156"/>
      <c r="E4" s="157"/>
      <c r="F4" s="9" t="s">
        <v>2</v>
      </c>
      <c r="G4" s="83" t="s">
        <v>52</v>
      </c>
      <c r="H4" s="1"/>
      <c r="I4" s="1"/>
      <c r="J4" s="1"/>
      <c r="K4" s="1"/>
      <c r="L4" s="1"/>
      <c r="M4" s="1"/>
      <c r="N4" s="1"/>
      <c r="O4" s="1"/>
      <c r="P4" s="1"/>
      <c r="Q4" s="1"/>
      <c r="R4" s="1"/>
      <c r="S4" s="1"/>
      <c r="T4" s="1"/>
      <c r="U4" s="1"/>
      <c r="V4" s="1"/>
      <c r="W4" s="1"/>
      <c r="X4" s="1"/>
      <c r="Y4" s="1"/>
      <c r="Z4" s="1"/>
    </row>
    <row r="5" spans="1:26" ht="14.25" customHeight="1" x14ac:dyDescent="0.2">
      <c r="A5" s="1"/>
      <c r="B5" s="9" t="s">
        <v>3</v>
      </c>
      <c r="C5" s="159" t="s">
        <v>54</v>
      </c>
      <c r="D5" s="156"/>
      <c r="E5" s="157"/>
      <c r="F5" s="9" t="s">
        <v>4</v>
      </c>
      <c r="G5" s="83"/>
      <c r="H5" s="1"/>
      <c r="I5" s="1"/>
      <c r="J5" s="1"/>
      <c r="K5" s="1"/>
      <c r="L5" s="1"/>
      <c r="M5" s="1"/>
      <c r="N5" s="1"/>
      <c r="O5" s="1"/>
      <c r="P5" s="1"/>
      <c r="Q5" s="1"/>
      <c r="R5" s="1"/>
      <c r="S5" s="1"/>
      <c r="T5" s="1"/>
      <c r="U5" s="1"/>
      <c r="V5" s="1"/>
      <c r="W5" s="1"/>
      <c r="X5" s="1"/>
      <c r="Y5" s="1"/>
      <c r="Z5" s="1"/>
    </row>
    <row r="6" spans="1:26" ht="15.75" customHeight="1" x14ac:dyDescent="0.2">
      <c r="A6" s="1"/>
      <c r="B6" s="160" t="s">
        <v>5</v>
      </c>
      <c r="C6" s="162" t="str">
        <f>C5&amp;"_"&amp;"XXX"&amp;"_"&amp;"vx.x"</f>
        <v>DA3_XXX_vx.x</v>
      </c>
      <c r="D6" s="163"/>
      <c r="E6" s="164"/>
      <c r="F6" s="9" t="s">
        <v>6</v>
      </c>
      <c r="G6" s="83"/>
      <c r="H6" s="1"/>
      <c r="I6" s="1"/>
      <c r="J6" s="1"/>
      <c r="K6" s="1"/>
      <c r="L6" s="1"/>
      <c r="M6" s="1"/>
      <c r="N6" s="1"/>
      <c r="O6" s="1"/>
      <c r="P6" s="1"/>
      <c r="Q6" s="1"/>
      <c r="R6" s="1"/>
      <c r="S6" s="1"/>
      <c r="T6" s="1"/>
      <c r="U6" s="1"/>
      <c r="V6" s="1"/>
      <c r="W6" s="1"/>
      <c r="X6" s="1"/>
      <c r="Y6" s="1"/>
      <c r="Z6" s="1"/>
    </row>
    <row r="7" spans="1:26" ht="13.5" customHeight="1" x14ac:dyDescent="0.2">
      <c r="A7" s="1"/>
      <c r="B7" s="161"/>
      <c r="C7" s="165"/>
      <c r="D7" s="166"/>
      <c r="E7" s="167"/>
      <c r="F7" s="9" t="s">
        <v>7</v>
      </c>
      <c r="G7" s="83"/>
      <c r="H7" s="1"/>
      <c r="I7" s="1"/>
      <c r="J7" s="1"/>
      <c r="K7" s="1"/>
      <c r="L7" s="1"/>
      <c r="M7" s="1"/>
      <c r="N7" s="1"/>
      <c r="O7" s="1"/>
      <c r="P7" s="1"/>
      <c r="Q7" s="1"/>
      <c r="R7" s="1"/>
      <c r="S7" s="1"/>
      <c r="T7" s="1"/>
      <c r="U7" s="1"/>
      <c r="V7" s="1"/>
      <c r="W7" s="1"/>
      <c r="X7" s="1"/>
      <c r="Y7" s="1"/>
      <c r="Z7" s="1"/>
    </row>
    <row r="8" spans="1:26" ht="12.75" customHeight="1" x14ac:dyDescent="0.2">
      <c r="A8" s="7"/>
      <c r="B8" s="7"/>
      <c r="C8" s="7"/>
      <c r="D8" s="7"/>
      <c r="E8" s="7"/>
      <c r="F8" s="7"/>
      <c r="G8" s="7"/>
      <c r="H8" s="1"/>
      <c r="I8" s="1"/>
      <c r="J8" s="1"/>
      <c r="K8" s="1"/>
      <c r="L8" s="1"/>
      <c r="M8" s="1"/>
      <c r="N8" s="1"/>
      <c r="O8" s="1"/>
      <c r="P8" s="1"/>
      <c r="Q8" s="1"/>
      <c r="R8" s="1"/>
      <c r="S8" s="1"/>
      <c r="T8" s="1"/>
      <c r="U8" s="1"/>
      <c r="V8" s="1"/>
      <c r="W8" s="1"/>
      <c r="X8" s="1"/>
      <c r="Y8" s="1"/>
      <c r="Z8" s="1"/>
    </row>
    <row r="9" spans="1:26" ht="12.75" customHeight="1" x14ac:dyDescent="0.2">
      <c r="A9" s="1"/>
      <c r="B9" s="1"/>
      <c r="C9" s="1"/>
      <c r="D9" s="1"/>
      <c r="E9" s="1"/>
      <c r="F9" s="1"/>
      <c r="G9" s="1"/>
      <c r="H9" s="1"/>
      <c r="J9" s="1"/>
      <c r="K9" s="1"/>
      <c r="L9" s="1"/>
      <c r="M9" s="1"/>
      <c r="N9" s="1"/>
      <c r="O9" s="1"/>
      <c r="P9" s="1"/>
      <c r="Q9" s="1"/>
      <c r="R9" s="1"/>
      <c r="S9" s="1"/>
      <c r="T9" s="1"/>
      <c r="U9" s="1"/>
      <c r="V9" s="1"/>
      <c r="W9" s="1"/>
      <c r="X9" s="1"/>
      <c r="Y9" s="1"/>
      <c r="Z9" s="1"/>
    </row>
    <row r="10" spans="1:26" ht="12.75" customHeight="1" x14ac:dyDescent="0.2">
      <c r="A10" s="1"/>
      <c r="B10" s="11" t="s">
        <v>8</v>
      </c>
      <c r="C10" s="1"/>
      <c r="D10" s="1"/>
      <c r="E10" s="96"/>
      <c r="F10" s="1"/>
      <c r="G10" s="1"/>
      <c r="H10" s="1"/>
      <c r="I10" s="1"/>
      <c r="J10" s="1"/>
      <c r="K10" s="1"/>
      <c r="L10" s="1"/>
      <c r="M10" s="1"/>
      <c r="N10" s="1"/>
      <c r="O10" s="1"/>
      <c r="P10" s="1"/>
      <c r="Q10" s="1"/>
      <c r="R10" s="1"/>
      <c r="S10" s="1"/>
      <c r="T10" s="1"/>
      <c r="U10" s="1"/>
      <c r="V10" s="1"/>
      <c r="W10" s="1"/>
      <c r="X10" s="1"/>
      <c r="Y10" s="1"/>
      <c r="Z10" s="1"/>
    </row>
    <row r="11" spans="1:26" ht="12.75" customHeight="1" x14ac:dyDescent="0.15">
      <c r="A11" s="12"/>
      <c r="B11" s="13" t="s">
        <v>9</v>
      </c>
      <c r="C11" s="14" t="s">
        <v>7</v>
      </c>
      <c r="D11" s="14" t="s">
        <v>10</v>
      </c>
      <c r="E11" s="14" t="s">
        <v>11</v>
      </c>
      <c r="F11" s="14" t="s">
        <v>12</v>
      </c>
      <c r="G11" s="15" t="s">
        <v>13</v>
      </c>
      <c r="H11" s="12"/>
      <c r="I11" s="12"/>
      <c r="J11" s="12"/>
      <c r="K11" s="12"/>
      <c r="L11" s="12"/>
      <c r="M11" s="12"/>
      <c r="N11" s="12"/>
      <c r="O11" s="12"/>
      <c r="P11" s="12"/>
      <c r="Q11" s="12"/>
      <c r="R11" s="12"/>
      <c r="S11" s="12"/>
      <c r="T11" s="12"/>
      <c r="U11" s="12"/>
      <c r="V11" s="12"/>
      <c r="W11" s="12"/>
      <c r="X11" s="12"/>
      <c r="Y11" s="12"/>
      <c r="Z11" s="12"/>
    </row>
    <row r="12" spans="1:26" ht="15" customHeight="1" x14ac:dyDescent="0.15">
      <c r="A12" s="16"/>
      <c r="B12" s="95">
        <v>46122</v>
      </c>
      <c r="C12" s="17"/>
      <c r="D12" s="93" t="s">
        <v>55</v>
      </c>
      <c r="E12" s="97" t="s">
        <v>108</v>
      </c>
      <c r="F12" s="19"/>
      <c r="G12" s="20"/>
      <c r="H12" s="16"/>
      <c r="I12" s="16"/>
      <c r="J12" s="16"/>
      <c r="K12" s="16"/>
      <c r="L12" s="16"/>
      <c r="M12" s="16"/>
      <c r="N12" s="16"/>
      <c r="O12" s="16"/>
      <c r="P12" s="16"/>
      <c r="Q12" s="16"/>
      <c r="R12" s="16"/>
      <c r="S12" s="16"/>
      <c r="T12" s="16"/>
      <c r="U12" s="16"/>
      <c r="V12" s="16"/>
      <c r="W12" s="16"/>
      <c r="X12" s="16"/>
      <c r="Y12" s="16"/>
      <c r="Z12" s="16"/>
    </row>
    <row r="13" spans="1:26" ht="15" customHeight="1" x14ac:dyDescent="0.15">
      <c r="A13" s="16"/>
      <c r="B13" s="153">
        <v>46123</v>
      </c>
      <c r="C13" s="17"/>
      <c r="D13" s="93" t="s">
        <v>65</v>
      </c>
      <c r="E13" s="97" t="s">
        <v>108</v>
      </c>
      <c r="F13" s="21"/>
      <c r="G13" s="22"/>
      <c r="H13" s="16"/>
      <c r="I13" s="16"/>
      <c r="J13" s="16"/>
      <c r="K13" s="16"/>
      <c r="L13" s="16"/>
      <c r="M13" s="16"/>
      <c r="N13" s="16"/>
      <c r="O13" s="16"/>
      <c r="P13" s="16"/>
      <c r="Q13" s="16"/>
      <c r="R13" s="16"/>
      <c r="S13" s="16"/>
      <c r="T13" s="16"/>
      <c r="U13" s="16"/>
      <c r="V13" s="16"/>
      <c r="W13" s="16"/>
      <c r="X13" s="16"/>
      <c r="Y13" s="16"/>
      <c r="Z13" s="16"/>
    </row>
    <row r="14" spans="1:26" ht="15" customHeight="1" x14ac:dyDescent="0.15">
      <c r="A14" s="16"/>
      <c r="B14" s="154"/>
      <c r="C14" s="17"/>
      <c r="D14" s="93" t="s">
        <v>66</v>
      </c>
      <c r="E14" s="97" t="s">
        <v>108</v>
      </c>
      <c r="F14" s="18"/>
      <c r="G14" s="22"/>
      <c r="H14" s="16"/>
      <c r="I14" s="16"/>
      <c r="J14" s="16"/>
      <c r="K14" s="16"/>
      <c r="L14" s="16"/>
      <c r="M14" s="16"/>
      <c r="N14" s="16"/>
      <c r="O14" s="16"/>
      <c r="P14" s="16"/>
      <c r="Q14" s="16"/>
      <c r="R14" s="16"/>
      <c r="S14" s="16"/>
      <c r="T14" s="16"/>
      <c r="U14" s="16"/>
      <c r="V14" s="16"/>
      <c r="W14" s="16"/>
      <c r="X14" s="16"/>
      <c r="Y14" s="16"/>
      <c r="Z14" s="16"/>
    </row>
    <row r="15" spans="1:26" ht="15" customHeight="1" x14ac:dyDescent="0.15">
      <c r="A15" s="16"/>
      <c r="B15" s="153">
        <v>46127</v>
      </c>
      <c r="C15" s="17"/>
      <c r="D15" s="94" t="s">
        <v>59</v>
      </c>
      <c r="E15" s="97" t="s">
        <v>108</v>
      </c>
      <c r="F15" s="18"/>
      <c r="G15" s="22"/>
      <c r="H15" s="16"/>
      <c r="I15" s="16"/>
      <c r="J15" s="16"/>
      <c r="K15" s="16"/>
      <c r="L15" s="16"/>
      <c r="M15" s="16"/>
      <c r="N15" s="16"/>
      <c r="O15" s="16"/>
      <c r="P15" s="16"/>
      <c r="Q15" s="16"/>
      <c r="R15" s="16"/>
      <c r="S15" s="16"/>
      <c r="T15" s="16"/>
      <c r="U15" s="16"/>
      <c r="V15" s="16"/>
      <c r="W15" s="16"/>
      <c r="X15" s="16"/>
      <c r="Y15" s="16"/>
      <c r="Z15" s="16"/>
    </row>
    <row r="16" spans="1:26" ht="15" customHeight="1" x14ac:dyDescent="0.15">
      <c r="A16" s="16"/>
      <c r="B16" s="154"/>
      <c r="C16" s="17"/>
      <c r="D16" s="93" t="s">
        <v>63</v>
      </c>
      <c r="E16" s="97" t="s">
        <v>108</v>
      </c>
      <c r="F16" s="18"/>
      <c r="G16" s="23"/>
      <c r="H16" s="16"/>
      <c r="I16" s="16"/>
      <c r="J16" s="16"/>
      <c r="K16" s="16"/>
      <c r="L16" s="16"/>
      <c r="M16" s="16"/>
      <c r="N16" s="16"/>
      <c r="O16" s="16"/>
      <c r="P16" s="16"/>
      <c r="Q16" s="16"/>
      <c r="R16" s="16"/>
      <c r="S16" s="16"/>
      <c r="T16" s="16"/>
      <c r="U16" s="16"/>
      <c r="V16" s="16"/>
      <c r="W16" s="16"/>
      <c r="X16" s="16"/>
      <c r="Y16" s="16"/>
      <c r="Z16" s="16"/>
    </row>
    <row r="17" spans="1:26" ht="15" customHeight="1" x14ac:dyDescent="0.15">
      <c r="A17" s="16"/>
      <c r="B17" s="95">
        <v>46133</v>
      </c>
      <c r="C17" s="17"/>
      <c r="D17" s="93" t="s">
        <v>67</v>
      </c>
      <c r="E17" s="97" t="s">
        <v>108</v>
      </c>
      <c r="F17" s="18"/>
      <c r="G17" s="23"/>
      <c r="H17" s="16"/>
      <c r="I17" s="16"/>
      <c r="J17" s="16"/>
      <c r="K17" s="16"/>
      <c r="L17" s="16"/>
      <c r="M17" s="16"/>
      <c r="N17" s="16"/>
      <c r="O17" s="16"/>
      <c r="P17" s="16"/>
      <c r="Q17" s="16"/>
      <c r="R17" s="16"/>
      <c r="S17" s="16"/>
      <c r="T17" s="16"/>
      <c r="U17" s="16"/>
      <c r="V17" s="16"/>
      <c r="W17" s="16"/>
      <c r="X17" s="16"/>
      <c r="Y17" s="16"/>
      <c r="Z17" s="16"/>
    </row>
    <row r="18" spans="1:26" ht="15" customHeight="1" x14ac:dyDescent="0.15">
      <c r="A18" s="100"/>
      <c r="B18" s="99"/>
      <c r="C18" s="18"/>
      <c r="D18" s="18"/>
      <c r="E18" s="18"/>
      <c r="F18" s="18"/>
      <c r="G18" s="23"/>
      <c r="H18" s="16"/>
      <c r="I18" s="16"/>
      <c r="J18" s="16"/>
      <c r="K18" s="16"/>
      <c r="L18" s="16"/>
      <c r="M18" s="16"/>
      <c r="N18" s="16"/>
      <c r="O18" s="16"/>
      <c r="P18" s="16"/>
      <c r="Q18" s="16"/>
      <c r="R18" s="16"/>
      <c r="S18" s="16"/>
      <c r="T18" s="16"/>
      <c r="U18" s="16"/>
      <c r="V18" s="16"/>
      <c r="W18" s="16"/>
      <c r="X18" s="16"/>
      <c r="Y18" s="16"/>
      <c r="Z18" s="16"/>
    </row>
    <row r="19" spans="1:26" ht="12.75" customHeight="1" x14ac:dyDescent="0.2">
      <c r="A19" s="101"/>
      <c r="B19" s="99"/>
      <c r="C19" s="18"/>
      <c r="D19" s="18"/>
      <c r="E19" s="18"/>
      <c r="F19" s="18"/>
      <c r="G19" s="23"/>
      <c r="H19" s="1"/>
      <c r="I19" s="1"/>
      <c r="J19" s="1"/>
      <c r="K19" s="1"/>
      <c r="L19" s="1"/>
      <c r="M19" s="1"/>
      <c r="N19" s="1"/>
      <c r="O19" s="1"/>
      <c r="P19" s="1"/>
      <c r="Q19" s="1"/>
      <c r="R19" s="1"/>
      <c r="S19" s="1"/>
      <c r="T19" s="1"/>
      <c r="U19" s="1"/>
      <c r="V19" s="1"/>
      <c r="W19" s="1"/>
      <c r="X19" s="1"/>
      <c r="Y19" s="1"/>
      <c r="Z19" s="1"/>
    </row>
    <row r="20" spans="1:26" ht="12.75" customHeight="1" x14ac:dyDescent="0.2">
      <c r="A20" s="101"/>
      <c r="B20" s="99"/>
      <c r="C20" s="18"/>
      <c r="D20" s="18"/>
      <c r="E20" s="18"/>
      <c r="F20" s="18"/>
      <c r="G20" s="23"/>
      <c r="H20" s="1"/>
      <c r="I20" s="1"/>
      <c r="J20" s="1"/>
      <c r="K20" s="1"/>
      <c r="L20" s="1"/>
      <c r="M20" s="1"/>
      <c r="N20" s="1"/>
      <c r="O20" s="1"/>
      <c r="P20" s="1"/>
      <c r="Q20" s="1"/>
      <c r="R20" s="1"/>
      <c r="S20" s="1"/>
      <c r="T20" s="1"/>
      <c r="U20" s="1"/>
      <c r="V20" s="1"/>
      <c r="W20" s="1"/>
      <c r="X20" s="1"/>
      <c r="Y20" s="1"/>
      <c r="Z20" s="1"/>
    </row>
    <row r="21" spans="1:26" ht="12.75" customHeight="1" x14ac:dyDescent="0.2">
      <c r="A21" s="101"/>
      <c r="B21" s="99"/>
      <c r="C21" s="18"/>
      <c r="D21" s="18"/>
      <c r="E21" s="18"/>
      <c r="F21" s="18"/>
      <c r="G21" s="23"/>
      <c r="H21" s="1"/>
      <c r="I21" s="1"/>
      <c r="J21" s="1"/>
      <c r="K21" s="1"/>
      <c r="L21" s="1"/>
      <c r="M21" s="1"/>
      <c r="N21" s="1"/>
      <c r="O21" s="1"/>
      <c r="P21" s="1"/>
      <c r="Q21" s="1"/>
      <c r="R21" s="1"/>
      <c r="S21" s="1"/>
      <c r="T21" s="1"/>
      <c r="U21" s="1"/>
      <c r="V21" s="1"/>
      <c r="W21" s="1"/>
      <c r="X21" s="1"/>
      <c r="Y21" s="1"/>
      <c r="Z21" s="1"/>
    </row>
    <row r="22" spans="1:26" ht="12.75" customHeight="1" x14ac:dyDescent="0.2">
      <c r="A22" s="101"/>
      <c r="B22" s="99"/>
      <c r="C22" s="18"/>
      <c r="D22" s="18"/>
      <c r="E22" s="18"/>
      <c r="F22" s="18"/>
      <c r="G22" s="23"/>
      <c r="H22" s="1"/>
      <c r="I22" s="1"/>
      <c r="J22" s="1"/>
      <c r="K22" s="1"/>
      <c r="L22" s="1"/>
      <c r="M22" s="1"/>
      <c r="N22" s="1"/>
      <c r="O22" s="1"/>
      <c r="P22" s="1"/>
      <c r="Q22" s="1"/>
      <c r="R22" s="1"/>
      <c r="S22" s="1"/>
      <c r="T22" s="1"/>
      <c r="U22" s="1"/>
      <c r="V22" s="1"/>
      <c r="W22" s="1"/>
      <c r="X22" s="1"/>
      <c r="Y22" s="1"/>
      <c r="Z22" s="1"/>
    </row>
    <row r="23" spans="1:26" ht="12.75" customHeight="1" x14ac:dyDescent="0.2">
      <c r="A23" s="101"/>
      <c r="B23" s="99"/>
      <c r="C23" s="18"/>
      <c r="D23" s="18"/>
      <c r="E23" s="18"/>
      <c r="F23" s="18"/>
      <c r="G23" s="23"/>
      <c r="H23" s="1"/>
      <c r="I23" s="1"/>
      <c r="J23" s="1"/>
      <c r="K23" s="1"/>
      <c r="L23" s="1"/>
      <c r="M23" s="1"/>
      <c r="N23" s="1"/>
      <c r="O23" s="1"/>
      <c r="P23" s="1"/>
      <c r="Q23" s="1"/>
      <c r="R23" s="1"/>
      <c r="S23" s="1"/>
      <c r="T23" s="1"/>
      <c r="U23" s="1"/>
      <c r="V23" s="1"/>
      <c r="W23" s="1"/>
      <c r="X23" s="1"/>
      <c r="Y23" s="1"/>
      <c r="Z23" s="1"/>
    </row>
    <row r="24" spans="1:26" ht="12.75" customHeight="1" x14ac:dyDescent="0.2">
      <c r="A24" s="101"/>
      <c r="B24" s="99"/>
      <c r="C24" s="18"/>
      <c r="D24" s="18"/>
      <c r="E24" s="18"/>
      <c r="F24" s="18"/>
      <c r="G24" s="23"/>
      <c r="H24" s="1"/>
      <c r="I24" s="1"/>
      <c r="J24" s="1"/>
      <c r="K24" s="1"/>
      <c r="L24" s="1"/>
      <c r="M24" s="1"/>
      <c r="N24" s="1"/>
      <c r="O24" s="1"/>
      <c r="P24" s="1"/>
      <c r="Q24" s="1"/>
      <c r="R24" s="1"/>
      <c r="S24" s="1"/>
      <c r="T24" s="1"/>
      <c r="U24" s="1"/>
      <c r="V24" s="1"/>
      <c r="W24" s="1"/>
      <c r="X24" s="1"/>
      <c r="Y24" s="1"/>
      <c r="Z24" s="1"/>
    </row>
    <row r="25" spans="1:26" ht="12.75" customHeight="1" x14ac:dyDescent="0.2">
      <c r="A25" s="101"/>
      <c r="B25" s="99"/>
      <c r="C25" s="18"/>
      <c r="D25" s="18"/>
      <c r="E25" s="18"/>
      <c r="F25" s="18"/>
      <c r="G25" s="23"/>
      <c r="H25" s="1"/>
      <c r="I25" s="1"/>
      <c r="J25" s="1"/>
      <c r="K25" s="1"/>
      <c r="L25" s="1"/>
      <c r="M25" s="1"/>
      <c r="N25" s="1"/>
      <c r="O25" s="1"/>
      <c r="P25" s="1"/>
      <c r="Q25" s="1"/>
      <c r="R25" s="1"/>
      <c r="S25" s="1"/>
      <c r="T25" s="1"/>
      <c r="U25" s="1"/>
      <c r="V25" s="1"/>
      <c r="W25" s="1"/>
      <c r="X25" s="1"/>
      <c r="Y25" s="1"/>
      <c r="Z25" s="1"/>
    </row>
    <row r="26" spans="1:26" ht="12.75" customHeight="1" x14ac:dyDescent="0.2">
      <c r="A26" s="101"/>
      <c r="B26" s="99"/>
      <c r="C26" s="18"/>
      <c r="D26" s="18"/>
      <c r="E26" s="18"/>
      <c r="F26" s="18"/>
      <c r="G26" s="23"/>
      <c r="H26" s="1"/>
      <c r="I26" s="1"/>
      <c r="J26" s="1"/>
      <c r="K26" s="1"/>
      <c r="L26" s="1"/>
      <c r="M26" s="1"/>
      <c r="N26" s="1"/>
      <c r="O26" s="1"/>
      <c r="P26" s="1"/>
      <c r="Q26" s="1"/>
      <c r="R26" s="1"/>
      <c r="S26" s="1"/>
      <c r="T26" s="1"/>
      <c r="U26" s="1"/>
      <c r="V26" s="1"/>
      <c r="W26" s="1"/>
      <c r="X26" s="1"/>
      <c r="Y26" s="1"/>
      <c r="Z26" s="1"/>
    </row>
    <row r="27" spans="1:26" ht="12.75" customHeight="1" x14ac:dyDescent="0.2">
      <c r="A27" s="101"/>
      <c r="B27" s="99"/>
      <c r="C27" s="18"/>
      <c r="D27" s="18"/>
      <c r="E27" s="18"/>
      <c r="F27" s="18"/>
      <c r="G27" s="23"/>
      <c r="H27" s="1"/>
      <c r="I27" s="1"/>
      <c r="J27" s="1"/>
      <c r="K27" s="1"/>
      <c r="L27" s="1"/>
      <c r="M27" s="1"/>
      <c r="N27" s="1"/>
      <c r="O27" s="1"/>
      <c r="P27" s="1"/>
      <c r="Q27" s="1"/>
      <c r="R27" s="1"/>
      <c r="S27" s="1"/>
      <c r="T27" s="1"/>
      <c r="U27" s="1"/>
      <c r="V27" s="1"/>
      <c r="W27" s="1"/>
      <c r="X27" s="1"/>
      <c r="Y27" s="1"/>
      <c r="Z27" s="1"/>
    </row>
    <row r="28" spans="1:26" ht="12.75" customHeight="1" x14ac:dyDescent="0.2">
      <c r="A28" s="101"/>
      <c r="B28" s="99"/>
      <c r="C28" s="18"/>
      <c r="D28" s="18"/>
      <c r="E28" s="18"/>
      <c r="F28" s="18"/>
      <c r="G28" s="23"/>
      <c r="H28" s="1"/>
      <c r="I28" s="1"/>
      <c r="J28" s="1"/>
      <c r="K28" s="1"/>
      <c r="L28" s="1"/>
      <c r="M28" s="1"/>
      <c r="N28" s="1"/>
      <c r="O28" s="1"/>
      <c r="P28" s="1"/>
      <c r="Q28" s="1"/>
      <c r="R28" s="1"/>
      <c r="S28" s="1"/>
      <c r="T28" s="1"/>
      <c r="U28" s="1"/>
      <c r="V28" s="1"/>
      <c r="W28" s="1"/>
      <c r="X28" s="1"/>
      <c r="Y28" s="1"/>
      <c r="Z28" s="1"/>
    </row>
    <row r="29" spans="1:26" ht="12.75" customHeight="1" x14ac:dyDescent="0.2">
      <c r="A29" s="1"/>
      <c r="B29" s="98"/>
      <c r="C29" s="24"/>
      <c r="D29" s="24"/>
      <c r="E29" s="24"/>
      <c r="F29" s="24"/>
      <c r="G29" s="25"/>
      <c r="H29" s="1"/>
      <c r="I29" s="1"/>
      <c r="J29" s="1"/>
      <c r="K29" s="1"/>
      <c r="L29" s="1"/>
      <c r="M29" s="1"/>
      <c r="N29" s="1"/>
      <c r="O29" s="1"/>
      <c r="P29" s="1"/>
      <c r="Q29" s="1"/>
      <c r="R29" s="1"/>
      <c r="S29" s="1"/>
      <c r="T29" s="1"/>
      <c r="U29" s="1"/>
      <c r="V29" s="1"/>
      <c r="W29" s="1"/>
      <c r="X29" s="1"/>
      <c r="Y29" s="1"/>
      <c r="Z29" s="1"/>
    </row>
    <row r="30" spans="1:26" ht="12.75" customHeight="1" x14ac:dyDescent="0.2">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x14ac:dyDescent="0.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x14ac:dyDescent="0.2">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x14ac:dyDescent="0.2">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x14ac:dyDescent="0.2">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x14ac:dyDescent="0.2">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x14ac:dyDescent="0.2">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x14ac:dyDescent="0.2">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x14ac:dyDescent="0.2">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x14ac:dyDescent="0.2">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x14ac:dyDescent="0.2">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x14ac:dyDescent="0.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x14ac:dyDescent="0.2">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x14ac:dyDescent="0.2">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x14ac:dyDescent="0.2">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x14ac:dyDescent="0.2">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x14ac:dyDescent="0.2">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x14ac:dyDescent="0.2">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x14ac:dyDescent="0.2">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x14ac:dyDescent="0.2">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x14ac:dyDescent="0.2">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x14ac:dyDescent="0.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75" customHeight="1" x14ac:dyDescent="0.2">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75" customHeight="1" x14ac:dyDescent="0.2">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75" customHeight="1" x14ac:dyDescent="0.2">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75" customHeight="1" x14ac:dyDescent="0.2">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75" customHeight="1" x14ac:dyDescent="0.2">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75" customHeight="1" x14ac:dyDescent="0.2">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75" customHeight="1" x14ac:dyDescent="0.2">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75" customHeight="1" x14ac:dyDescent="0.2">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75" customHeight="1" x14ac:dyDescent="0.2">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75" customHeight="1" x14ac:dyDescent="0.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75" customHeight="1" x14ac:dyDescent="0.2">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75" customHeight="1" x14ac:dyDescent="0.2">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75" customHeight="1" x14ac:dyDescent="0.2">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75" customHeight="1" x14ac:dyDescent="0.2">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75" customHeight="1" x14ac:dyDescent="0.2">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75" customHeight="1" x14ac:dyDescent="0.2">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75" customHeight="1" x14ac:dyDescent="0.2">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75" customHeight="1" x14ac:dyDescent="0.2">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75" customHeight="1" x14ac:dyDescent="0.2">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75" customHeight="1" x14ac:dyDescent="0.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75" customHeight="1" x14ac:dyDescent="0.2">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75" customHeight="1" x14ac:dyDescent="0.2">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x14ac:dyDescent="0.2">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75" customHeight="1" x14ac:dyDescent="0.2">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75" customHeight="1" x14ac:dyDescent="0.2">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75" customHeight="1" x14ac:dyDescent="0.2">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75" customHeight="1" x14ac:dyDescent="0.2">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75" customHeight="1" x14ac:dyDescent="0.2">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75" customHeight="1" x14ac:dyDescent="0.2">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75" customHeight="1" x14ac:dyDescent="0.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75" customHeight="1" x14ac:dyDescent="0.2">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75" customHeight="1" x14ac:dyDescent="0.2">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75" customHeight="1" x14ac:dyDescent="0.2">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75" customHeight="1" x14ac:dyDescent="0.2">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75" customHeight="1" x14ac:dyDescent="0.2">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75" customHeight="1" x14ac:dyDescent="0.2">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75" customHeight="1" x14ac:dyDescent="0.2">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75" customHeight="1" x14ac:dyDescent="0.2">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75" customHeight="1" x14ac:dyDescent="0.2">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75" customHeight="1" x14ac:dyDescent="0.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75" customHeight="1" x14ac:dyDescent="0.2">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75" customHeight="1" x14ac:dyDescent="0.2">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75" customHeight="1" x14ac:dyDescent="0.2">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75" customHeight="1" x14ac:dyDescent="0.2">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75" customHeight="1" x14ac:dyDescent="0.2">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75" customHeight="1" x14ac:dyDescent="0.2">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75" customHeight="1" x14ac:dyDescent="0.2">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75" customHeight="1" x14ac:dyDescent="0.2">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75" customHeight="1" x14ac:dyDescent="0.2">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75" customHeight="1" x14ac:dyDescent="0.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75" customHeight="1" x14ac:dyDescent="0.2">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75" customHeight="1" x14ac:dyDescent="0.2">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75" customHeight="1" x14ac:dyDescent="0.2">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75" customHeight="1" x14ac:dyDescent="0.2">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75" customHeight="1" x14ac:dyDescent="0.2">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75" customHeight="1" x14ac:dyDescent="0.2">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75" customHeight="1" x14ac:dyDescent="0.2">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75" customHeight="1" x14ac:dyDescent="0.2">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75" customHeight="1" x14ac:dyDescent="0.2">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75" customHeight="1" x14ac:dyDescent="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75" customHeight="1" x14ac:dyDescent="0.2">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75" customHeight="1" x14ac:dyDescent="0.2">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75" customHeight="1" x14ac:dyDescent="0.2">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75" customHeight="1" x14ac:dyDescent="0.2">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75" customHeight="1" x14ac:dyDescent="0.2">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75" customHeight="1" x14ac:dyDescent="0.2">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75" customHeight="1" x14ac:dyDescent="0.2">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75" customHeight="1" x14ac:dyDescent="0.2">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75" customHeight="1" x14ac:dyDescent="0.2">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75" customHeight="1" x14ac:dyDescent="0.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75" customHeight="1" x14ac:dyDescent="0.2">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75" customHeight="1" x14ac:dyDescent="0.2">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75" customHeight="1" x14ac:dyDescent="0.2">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75" customHeight="1" x14ac:dyDescent="0.2">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75" customHeight="1" x14ac:dyDescent="0.2">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75" customHeight="1" x14ac:dyDescent="0.2">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75" customHeight="1" x14ac:dyDescent="0.2">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75" customHeight="1" x14ac:dyDescent="0.2">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75" customHeight="1" x14ac:dyDescent="0.2">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75" customHeight="1" x14ac:dyDescent="0.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75" customHeight="1" x14ac:dyDescent="0.2">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75" customHeight="1" x14ac:dyDescent="0.2">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75" customHeight="1" x14ac:dyDescent="0.2">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75" customHeight="1" x14ac:dyDescent="0.2">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75" customHeight="1" x14ac:dyDescent="0.2">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75" customHeight="1" x14ac:dyDescent="0.2">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75" customHeight="1" x14ac:dyDescent="0.2">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75" customHeight="1" x14ac:dyDescent="0.2">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75" customHeight="1" x14ac:dyDescent="0.2">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75" customHeight="1" x14ac:dyDescent="0.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75" customHeight="1" x14ac:dyDescent="0.2">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75" customHeight="1" x14ac:dyDescent="0.2">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75" customHeight="1" x14ac:dyDescent="0.2">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75" customHeight="1" x14ac:dyDescent="0.2">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75" customHeight="1" x14ac:dyDescent="0.2">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75" customHeight="1" x14ac:dyDescent="0.2">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75" customHeight="1" x14ac:dyDescent="0.2">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75" customHeight="1" x14ac:dyDescent="0.2">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75" customHeight="1" x14ac:dyDescent="0.2">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75" customHeight="1" x14ac:dyDescent="0.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75" customHeight="1" x14ac:dyDescent="0.2">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75" customHeight="1" x14ac:dyDescent="0.2">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75" customHeight="1" x14ac:dyDescent="0.2">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75" customHeight="1" x14ac:dyDescent="0.2">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75" customHeight="1" x14ac:dyDescent="0.2">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75" customHeight="1" x14ac:dyDescent="0.2">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75" customHeight="1" x14ac:dyDescent="0.2">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75" customHeight="1" x14ac:dyDescent="0.2">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75" customHeight="1" x14ac:dyDescent="0.2">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75" customHeight="1" x14ac:dyDescent="0.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75" customHeight="1" x14ac:dyDescent="0.2">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75" customHeight="1" x14ac:dyDescent="0.2">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75" customHeight="1" x14ac:dyDescent="0.2">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75" customHeight="1" x14ac:dyDescent="0.2">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75" customHeight="1" x14ac:dyDescent="0.2">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75" customHeight="1" x14ac:dyDescent="0.2">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75" customHeight="1" x14ac:dyDescent="0.2">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75" customHeight="1" x14ac:dyDescent="0.2">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75" customHeight="1" x14ac:dyDescent="0.2">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75" customHeight="1" x14ac:dyDescent="0.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75" customHeight="1" x14ac:dyDescent="0.2">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75" customHeight="1" x14ac:dyDescent="0.2">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75" customHeight="1" x14ac:dyDescent="0.2">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75" customHeight="1" x14ac:dyDescent="0.2">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75" customHeight="1" x14ac:dyDescent="0.2">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75" customHeight="1" x14ac:dyDescent="0.2">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75" customHeight="1" x14ac:dyDescent="0.2">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75" customHeight="1" x14ac:dyDescent="0.2">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75" customHeight="1" x14ac:dyDescent="0.2">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75" customHeight="1" x14ac:dyDescent="0.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75" customHeight="1" x14ac:dyDescent="0.2">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75" customHeight="1" x14ac:dyDescent="0.2">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75" customHeight="1" x14ac:dyDescent="0.2">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75" customHeight="1" x14ac:dyDescent="0.2">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75" customHeight="1" x14ac:dyDescent="0.2">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75" customHeight="1" x14ac:dyDescent="0.2">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75" customHeight="1" x14ac:dyDescent="0.2">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75" customHeight="1" x14ac:dyDescent="0.2">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75" customHeight="1" x14ac:dyDescent="0.2">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75" customHeight="1" x14ac:dyDescent="0.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75" customHeight="1" x14ac:dyDescent="0.2">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75" customHeight="1" x14ac:dyDescent="0.2">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75" customHeight="1" x14ac:dyDescent="0.2">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75" customHeight="1" x14ac:dyDescent="0.2">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75" customHeight="1" x14ac:dyDescent="0.2">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75" customHeight="1" x14ac:dyDescent="0.2">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75" customHeight="1" x14ac:dyDescent="0.2">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75" customHeight="1" x14ac:dyDescent="0.2">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75" customHeight="1" x14ac:dyDescent="0.2">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75" customHeight="1" x14ac:dyDescent="0.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75" customHeight="1" x14ac:dyDescent="0.2">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75" customHeight="1" x14ac:dyDescent="0.2">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75" customHeight="1" x14ac:dyDescent="0.2">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75" customHeight="1" x14ac:dyDescent="0.2">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75" customHeight="1" x14ac:dyDescent="0.2">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75" customHeight="1" x14ac:dyDescent="0.2">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75" customHeight="1" x14ac:dyDescent="0.2">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75" customHeight="1" x14ac:dyDescent="0.2">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75" customHeight="1" x14ac:dyDescent="0.2">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75" customHeight="1" x14ac:dyDescent="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75" customHeight="1" x14ac:dyDescent="0.2">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75" customHeight="1" x14ac:dyDescent="0.2">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75" customHeight="1" x14ac:dyDescent="0.2">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75" customHeight="1" x14ac:dyDescent="0.2">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75" customHeight="1" x14ac:dyDescent="0.2">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75" customHeight="1" x14ac:dyDescent="0.2">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75" customHeight="1" x14ac:dyDescent="0.2">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75" customHeight="1" x14ac:dyDescent="0.2">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75" customHeight="1" x14ac:dyDescent="0.2">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75" customHeight="1" x14ac:dyDescent="0.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75" customHeight="1" x14ac:dyDescent="0.2">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75" customHeight="1" x14ac:dyDescent="0.2">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75" customHeight="1" x14ac:dyDescent="0.2">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75" customHeight="1" x14ac:dyDescent="0.2">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75" customHeight="1" x14ac:dyDescent="0.2">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75" customHeight="1" x14ac:dyDescent="0.2">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75" customHeight="1" x14ac:dyDescent="0.2">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75" customHeight="1" x14ac:dyDescent="0.2">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75" customHeight="1" x14ac:dyDescent="0.2">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75" customHeight="1" x14ac:dyDescent="0.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75" customHeight="1" x14ac:dyDescent="0.2">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75" customHeight="1" x14ac:dyDescent="0.2">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75" customHeight="1" x14ac:dyDescent="0.2">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75" customHeight="1" x14ac:dyDescent="0.2">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75" customHeight="1" x14ac:dyDescent="0.2">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75" customHeight="1" x14ac:dyDescent="0.2">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75" customHeight="1" x14ac:dyDescent="0.2">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75" customHeight="1" x14ac:dyDescent="0.2">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75" customHeight="1" x14ac:dyDescent="0.2">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75" customHeight="1" x14ac:dyDescent="0.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75" customHeight="1" x14ac:dyDescent="0.2">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75" customHeight="1" x14ac:dyDescent="0.2">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75" customHeight="1" x14ac:dyDescent="0.2">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75" customHeight="1" x14ac:dyDescent="0.2">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75" customHeight="1" x14ac:dyDescent="0.2">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75" customHeight="1" x14ac:dyDescent="0.2">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75" customHeight="1" x14ac:dyDescent="0.2">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75" customHeight="1" x14ac:dyDescent="0.2">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75" customHeight="1" x14ac:dyDescent="0.2">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75" customHeight="1" x14ac:dyDescent="0.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75" customHeight="1" x14ac:dyDescent="0.2">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75" customHeight="1" x14ac:dyDescent="0.2">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75" customHeight="1" x14ac:dyDescent="0.2">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75" customHeight="1" x14ac:dyDescent="0.2">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75" customHeight="1" x14ac:dyDescent="0.2">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75" customHeight="1" x14ac:dyDescent="0.2">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75" customHeight="1" x14ac:dyDescent="0.2">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75" customHeight="1" x14ac:dyDescent="0.2">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75" customHeight="1" x14ac:dyDescent="0.2">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75" customHeight="1" x14ac:dyDescent="0.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75" customHeight="1" x14ac:dyDescent="0.2">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75" customHeight="1" x14ac:dyDescent="0.2">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75" customHeight="1" x14ac:dyDescent="0.2">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75" customHeight="1" x14ac:dyDescent="0.2">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75" customHeight="1" x14ac:dyDescent="0.2">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75" customHeight="1" x14ac:dyDescent="0.2">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75" customHeight="1" x14ac:dyDescent="0.2">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75" customHeight="1" x14ac:dyDescent="0.2">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75" customHeight="1" x14ac:dyDescent="0.2">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75" customHeight="1" x14ac:dyDescent="0.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75" customHeight="1" x14ac:dyDescent="0.2">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75" customHeight="1" x14ac:dyDescent="0.2">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75" customHeight="1" x14ac:dyDescent="0.2">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75" customHeight="1" x14ac:dyDescent="0.2">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75" customHeight="1" x14ac:dyDescent="0.2">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75" customHeight="1" x14ac:dyDescent="0.2">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75" customHeight="1" x14ac:dyDescent="0.2">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75" customHeight="1" x14ac:dyDescent="0.2">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75" customHeight="1" x14ac:dyDescent="0.2">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75" customHeight="1" x14ac:dyDescent="0.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75" customHeight="1" x14ac:dyDescent="0.2">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75" customHeight="1" x14ac:dyDescent="0.2">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75" customHeight="1" x14ac:dyDescent="0.2">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75" customHeight="1" x14ac:dyDescent="0.2">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75" customHeight="1" x14ac:dyDescent="0.2">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75" customHeight="1" x14ac:dyDescent="0.2">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75" customHeight="1" x14ac:dyDescent="0.2">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75" customHeight="1" x14ac:dyDescent="0.2">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75" customHeight="1" x14ac:dyDescent="0.2">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75" customHeight="1" x14ac:dyDescent="0.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75" customHeight="1" x14ac:dyDescent="0.2">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75" customHeight="1" x14ac:dyDescent="0.2">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75" customHeight="1" x14ac:dyDescent="0.2">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75" customHeight="1" x14ac:dyDescent="0.2">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75" customHeight="1" x14ac:dyDescent="0.2">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75" customHeight="1" x14ac:dyDescent="0.2">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75" customHeight="1" x14ac:dyDescent="0.2">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75" customHeight="1" x14ac:dyDescent="0.2">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75" customHeight="1" x14ac:dyDescent="0.2">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75" customHeight="1" x14ac:dyDescent="0.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75" customHeight="1" x14ac:dyDescent="0.2">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75" customHeight="1" x14ac:dyDescent="0.2">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75" customHeight="1" x14ac:dyDescent="0.2">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75" customHeight="1" x14ac:dyDescent="0.2">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75" customHeight="1" x14ac:dyDescent="0.2">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75" customHeight="1" x14ac:dyDescent="0.2">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75" customHeight="1" x14ac:dyDescent="0.2">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75" customHeight="1" x14ac:dyDescent="0.2">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75" customHeight="1" x14ac:dyDescent="0.2">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75" customHeight="1" x14ac:dyDescent="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75" customHeight="1" x14ac:dyDescent="0.2">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75" customHeight="1" x14ac:dyDescent="0.2">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75" customHeight="1" x14ac:dyDescent="0.2">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75" customHeight="1" x14ac:dyDescent="0.2">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75" customHeight="1" x14ac:dyDescent="0.2">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75" customHeight="1" x14ac:dyDescent="0.2">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75" customHeight="1" x14ac:dyDescent="0.2">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75" customHeight="1" x14ac:dyDescent="0.2">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75" customHeight="1" x14ac:dyDescent="0.2">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75" customHeight="1" x14ac:dyDescent="0.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75" customHeight="1" x14ac:dyDescent="0.2">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75" customHeight="1" x14ac:dyDescent="0.2">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75" customHeight="1" x14ac:dyDescent="0.2">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75" customHeight="1" x14ac:dyDescent="0.2">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75" customHeight="1" x14ac:dyDescent="0.2">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75" customHeight="1" x14ac:dyDescent="0.2">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75" customHeight="1" x14ac:dyDescent="0.2">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75" customHeight="1" x14ac:dyDescent="0.2">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75" customHeight="1" x14ac:dyDescent="0.2">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75" customHeight="1" x14ac:dyDescent="0.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75" customHeight="1" x14ac:dyDescent="0.2">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75" customHeight="1" x14ac:dyDescent="0.2">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75" customHeight="1" x14ac:dyDescent="0.2">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75" customHeight="1" x14ac:dyDescent="0.2">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75" customHeight="1" x14ac:dyDescent="0.2">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75" customHeight="1" x14ac:dyDescent="0.2">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75" customHeight="1" x14ac:dyDescent="0.2">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75" customHeight="1" x14ac:dyDescent="0.2">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75" customHeight="1" x14ac:dyDescent="0.2">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75" customHeight="1" x14ac:dyDescent="0.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75" customHeight="1" x14ac:dyDescent="0.2">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x14ac:dyDescent="0.2">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x14ac:dyDescent="0.2">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x14ac:dyDescent="0.2">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x14ac:dyDescent="0.2">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x14ac:dyDescent="0.2">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x14ac:dyDescent="0.2">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x14ac:dyDescent="0.2">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x14ac:dyDescent="0.2">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x14ac:dyDescent="0.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x14ac:dyDescent="0.2">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x14ac:dyDescent="0.2">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x14ac:dyDescent="0.2">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x14ac:dyDescent="0.2">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x14ac:dyDescent="0.2">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x14ac:dyDescent="0.2">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x14ac:dyDescent="0.2">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x14ac:dyDescent="0.2">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x14ac:dyDescent="0.2">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x14ac:dyDescent="0.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x14ac:dyDescent="0.2">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x14ac:dyDescent="0.2">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x14ac:dyDescent="0.2">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x14ac:dyDescent="0.2">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x14ac:dyDescent="0.2">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x14ac:dyDescent="0.2">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x14ac:dyDescent="0.2">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x14ac:dyDescent="0.2">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x14ac:dyDescent="0.2">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x14ac:dyDescent="0.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x14ac:dyDescent="0.2">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x14ac:dyDescent="0.2">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x14ac:dyDescent="0.2">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x14ac:dyDescent="0.2">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x14ac:dyDescent="0.2">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x14ac:dyDescent="0.2">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x14ac:dyDescent="0.2">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x14ac:dyDescent="0.2">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x14ac:dyDescent="0.2">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x14ac:dyDescent="0.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x14ac:dyDescent="0.2">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x14ac:dyDescent="0.2">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x14ac:dyDescent="0.2">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x14ac:dyDescent="0.2">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x14ac:dyDescent="0.2">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x14ac:dyDescent="0.2">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x14ac:dyDescent="0.2">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x14ac:dyDescent="0.2">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x14ac:dyDescent="0.2">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x14ac:dyDescent="0.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x14ac:dyDescent="0.2">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x14ac:dyDescent="0.2">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x14ac:dyDescent="0.2">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x14ac:dyDescent="0.2">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x14ac:dyDescent="0.2">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x14ac:dyDescent="0.2">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x14ac:dyDescent="0.2">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x14ac:dyDescent="0.2">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x14ac:dyDescent="0.2">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x14ac:dyDescent="0.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x14ac:dyDescent="0.2">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x14ac:dyDescent="0.2">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x14ac:dyDescent="0.2">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x14ac:dyDescent="0.2">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x14ac:dyDescent="0.2">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x14ac:dyDescent="0.2">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x14ac:dyDescent="0.2">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x14ac:dyDescent="0.2">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x14ac:dyDescent="0.2">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x14ac:dyDescent="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x14ac:dyDescent="0.2">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x14ac:dyDescent="0.2">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x14ac:dyDescent="0.2">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x14ac:dyDescent="0.2">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x14ac:dyDescent="0.2">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x14ac:dyDescent="0.2">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x14ac:dyDescent="0.2">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x14ac:dyDescent="0.2">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x14ac:dyDescent="0.2">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x14ac:dyDescent="0.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x14ac:dyDescent="0.2">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x14ac:dyDescent="0.2">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x14ac:dyDescent="0.2">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x14ac:dyDescent="0.2">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x14ac:dyDescent="0.2">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x14ac:dyDescent="0.2">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x14ac:dyDescent="0.2">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x14ac:dyDescent="0.2">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x14ac:dyDescent="0.2">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x14ac:dyDescent="0.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x14ac:dyDescent="0.2">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x14ac:dyDescent="0.2">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x14ac:dyDescent="0.2">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x14ac:dyDescent="0.2">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x14ac:dyDescent="0.2">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x14ac:dyDescent="0.2">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x14ac:dyDescent="0.2">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x14ac:dyDescent="0.2">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x14ac:dyDescent="0.2">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x14ac:dyDescent="0.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x14ac:dyDescent="0.2">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x14ac:dyDescent="0.2">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x14ac:dyDescent="0.2">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x14ac:dyDescent="0.2">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x14ac:dyDescent="0.2">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x14ac:dyDescent="0.2">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x14ac:dyDescent="0.2">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x14ac:dyDescent="0.2">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x14ac:dyDescent="0.2">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x14ac:dyDescent="0.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x14ac:dyDescent="0.2">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x14ac:dyDescent="0.2">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x14ac:dyDescent="0.2">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x14ac:dyDescent="0.2">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x14ac:dyDescent="0.2">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x14ac:dyDescent="0.2">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x14ac:dyDescent="0.2">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x14ac:dyDescent="0.2">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x14ac:dyDescent="0.2">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x14ac:dyDescent="0.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x14ac:dyDescent="0.2">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x14ac:dyDescent="0.2">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x14ac:dyDescent="0.2">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x14ac:dyDescent="0.2">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x14ac:dyDescent="0.2">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x14ac:dyDescent="0.2">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x14ac:dyDescent="0.2">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x14ac:dyDescent="0.2">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x14ac:dyDescent="0.2">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x14ac:dyDescent="0.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x14ac:dyDescent="0.2">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x14ac:dyDescent="0.2">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x14ac:dyDescent="0.2">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x14ac:dyDescent="0.2">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x14ac:dyDescent="0.2">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x14ac:dyDescent="0.2">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x14ac:dyDescent="0.2">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x14ac:dyDescent="0.2">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x14ac:dyDescent="0.2">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x14ac:dyDescent="0.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x14ac:dyDescent="0.2">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x14ac:dyDescent="0.2">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x14ac:dyDescent="0.2">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x14ac:dyDescent="0.2">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x14ac:dyDescent="0.2">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x14ac:dyDescent="0.2">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x14ac:dyDescent="0.2">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x14ac:dyDescent="0.2">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x14ac:dyDescent="0.2">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x14ac:dyDescent="0.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x14ac:dyDescent="0.2">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x14ac:dyDescent="0.2">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x14ac:dyDescent="0.2">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x14ac:dyDescent="0.2">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x14ac:dyDescent="0.2">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x14ac:dyDescent="0.2">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x14ac:dyDescent="0.2">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x14ac:dyDescent="0.2">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x14ac:dyDescent="0.2">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x14ac:dyDescent="0.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x14ac:dyDescent="0.2">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x14ac:dyDescent="0.2">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x14ac:dyDescent="0.2">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x14ac:dyDescent="0.2">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x14ac:dyDescent="0.2">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x14ac:dyDescent="0.2">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x14ac:dyDescent="0.2">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x14ac:dyDescent="0.2">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x14ac:dyDescent="0.2">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x14ac:dyDescent="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x14ac:dyDescent="0.2">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x14ac:dyDescent="0.2">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x14ac:dyDescent="0.2">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x14ac:dyDescent="0.2">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x14ac:dyDescent="0.2">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x14ac:dyDescent="0.2">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x14ac:dyDescent="0.2">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x14ac:dyDescent="0.2">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x14ac:dyDescent="0.2">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x14ac:dyDescent="0.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x14ac:dyDescent="0.2">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x14ac:dyDescent="0.2">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x14ac:dyDescent="0.2">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x14ac:dyDescent="0.2">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x14ac:dyDescent="0.2">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x14ac:dyDescent="0.2">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x14ac:dyDescent="0.2">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x14ac:dyDescent="0.2">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x14ac:dyDescent="0.2">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x14ac:dyDescent="0.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x14ac:dyDescent="0.2">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x14ac:dyDescent="0.2">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x14ac:dyDescent="0.2">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x14ac:dyDescent="0.2">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x14ac:dyDescent="0.2">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x14ac:dyDescent="0.2">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x14ac:dyDescent="0.2">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x14ac:dyDescent="0.2">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x14ac:dyDescent="0.2">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x14ac:dyDescent="0.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x14ac:dyDescent="0.2">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x14ac:dyDescent="0.2">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x14ac:dyDescent="0.2">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x14ac:dyDescent="0.2">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x14ac:dyDescent="0.2">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x14ac:dyDescent="0.2">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x14ac:dyDescent="0.2">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x14ac:dyDescent="0.2">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x14ac:dyDescent="0.2">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x14ac:dyDescent="0.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x14ac:dyDescent="0.2">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x14ac:dyDescent="0.2">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x14ac:dyDescent="0.2">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x14ac:dyDescent="0.2">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x14ac:dyDescent="0.2">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x14ac:dyDescent="0.2">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x14ac:dyDescent="0.2">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x14ac:dyDescent="0.2">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x14ac:dyDescent="0.2">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x14ac:dyDescent="0.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x14ac:dyDescent="0.2">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x14ac:dyDescent="0.2">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x14ac:dyDescent="0.2">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x14ac:dyDescent="0.2">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x14ac:dyDescent="0.2">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x14ac:dyDescent="0.2">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x14ac:dyDescent="0.2">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x14ac:dyDescent="0.2">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x14ac:dyDescent="0.2">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x14ac:dyDescent="0.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x14ac:dyDescent="0.2">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x14ac:dyDescent="0.2">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x14ac:dyDescent="0.2">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x14ac:dyDescent="0.2">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x14ac:dyDescent="0.2">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x14ac:dyDescent="0.2">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x14ac:dyDescent="0.2">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x14ac:dyDescent="0.2">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x14ac:dyDescent="0.2">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x14ac:dyDescent="0.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x14ac:dyDescent="0.2">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x14ac:dyDescent="0.2">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x14ac:dyDescent="0.2">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x14ac:dyDescent="0.2">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x14ac:dyDescent="0.2">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x14ac:dyDescent="0.2">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x14ac:dyDescent="0.2">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x14ac:dyDescent="0.2">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x14ac:dyDescent="0.2">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x14ac:dyDescent="0.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x14ac:dyDescent="0.2">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x14ac:dyDescent="0.2">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x14ac:dyDescent="0.2">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x14ac:dyDescent="0.2">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x14ac:dyDescent="0.2">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x14ac:dyDescent="0.2">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x14ac:dyDescent="0.2">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x14ac:dyDescent="0.2">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x14ac:dyDescent="0.2">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x14ac:dyDescent="0.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x14ac:dyDescent="0.2">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x14ac:dyDescent="0.2">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x14ac:dyDescent="0.2">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x14ac:dyDescent="0.2">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x14ac:dyDescent="0.2">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x14ac:dyDescent="0.2">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x14ac:dyDescent="0.2">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x14ac:dyDescent="0.2">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x14ac:dyDescent="0.2">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x14ac:dyDescent="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x14ac:dyDescent="0.2">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x14ac:dyDescent="0.2">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x14ac:dyDescent="0.2">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x14ac:dyDescent="0.2">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x14ac:dyDescent="0.2">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x14ac:dyDescent="0.2">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x14ac:dyDescent="0.2">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x14ac:dyDescent="0.2">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x14ac:dyDescent="0.2">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x14ac:dyDescent="0.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x14ac:dyDescent="0.2">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x14ac:dyDescent="0.2">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x14ac:dyDescent="0.2">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x14ac:dyDescent="0.2">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x14ac:dyDescent="0.2">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x14ac:dyDescent="0.2">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x14ac:dyDescent="0.2">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x14ac:dyDescent="0.2">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x14ac:dyDescent="0.2">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x14ac:dyDescent="0.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x14ac:dyDescent="0.2">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x14ac:dyDescent="0.2">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x14ac:dyDescent="0.2">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x14ac:dyDescent="0.2">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x14ac:dyDescent="0.2">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x14ac:dyDescent="0.2">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x14ac:dyDescent="0.2">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x14ac:dyDescent="0.2">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x14ac:dyDescent="0.2">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x14ac:dyDescent="0.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x14ac:dyDescent="0.2">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x14ac:dyDescent="0.2">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x14ac:dyDescent="0.2">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x14ac:dyDescent="0.2">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x14ac:dyDescent="0.2">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x14ac:dyDescent="0.2">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x14ac:dyDescent="0.2">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x14ac:dyDescent="0.2">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x14ac:dyDescent="0.2">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x14ac:dyDescent="0.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x14ac:dyDescent="0.2">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x14ac:dyDescent="0.2">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x14ac:dyDescent="0.2">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x14ac:dyDescent="0.2">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x14ac:dyDescent="0.2">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x14ac:dyDescent="0.2">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x14ac:dyDescent="0.2">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x14ac:dyDescent="0.2">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x14ac:dyDescent="0.2">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x14ac:dyDescent="0.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x14ac:dyDescent="0.2">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x14ac:dyDescent="0.2">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x14ac:dyDescent="0.2">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x14ac:dyDescent="0.2">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x14ac:dyDescent="0.2">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x14ac:dyDescent="0.2">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x14ac:dyDescent="0.2">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x14ac:dyDescent="0.2">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x14ac:dyDescent="0.2">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x14ac:dyDescent="0.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x14ac:dyDescent="0.2">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x14ac:dyDescent="0.2">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x14ac:dyDescent="0.2">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x14ac:dyDescent="0.2">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x14ac:dyDescent="0.2">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x14ac:dyDescent="0.2">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x14ac:dyDescent="0.2">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x14ac:dyDescent="0.2">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x14ac:dyDescent="0.2">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x14ac:dyDescent="0.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x14ac:dyDescent="0.2">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x14ac:dyDescent="0.2">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x14ac:dyDescent="0.2">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x14ac:dyDescent="0.2">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x14ac:dyDescent="0.2">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x14ac:dyDescent="0.2">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x14ac:dyDescent="0.2">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x14ac:dyDescent="0.2">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x14ac:dyDescent="0.2">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x14ac:dyDescent="0.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x14ac:dyDescent="0.2">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x14ac:dyDescent="0.2">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x14ac:dyDescent="0.2">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x14ac:dyDescent="0.2">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x14ac:dyDescent="0.2">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x14ac:dyDescent="0.2">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x14ac:dyDescent="0.2">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x14ac:dyDescent="0.2">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x14ac:dyDescent="0.2">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x14ac:dyDescent="0.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x14ac:dyDescent="0.2">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x14ac:dyDescent="0.2">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x14ac:dyDescent="0.2">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x14ac:dyDescent="0.2">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x14ac:dyDescent="0.2">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x14ac:dyDescent="0.2">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x14ac:dyDescent="0.2">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x14ac:dyDescent="0.2">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x14ac:dyDescent="0.2">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x14ac:dyDescent="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x14ac:dyDescent="0.2">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x14ac:dyDescent="0.2">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x14ac:dyDescent="0.2">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x14ac:dyDescent="0.2">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x14ac:dyDescent="0.2">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x14ac:dyDescent="0.2">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x14ac:dyDescent="0.2">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x14ac:dyDescent="0.2">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x14ac:dyDescent="0.2">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x14ac:dyDescent="0.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x14ac:dyDescent="0.2">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x14ac:dyDescent="0.2">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x14ac:dyDescent="0.2">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x14ac:dyDescent="0.2">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x14ac:dyDescent="0.2">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x14ac:dyDescent="0.2">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x14ac:dyDescent="0.2">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x14ac:dyDescent="0.2">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x14ac:dyDescent="0.2">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x14ac:dyDescent="0.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x14ac:dyDescent="0.2">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x14ac:dyDescent="0.2">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x14ac:dyDescent="0.2">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x14ac:dyDescent="0.2">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x14ac:dyDescent="0.2">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x14ac:dyDescent="0.2">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x14ac:dyDescent="0.2">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x14ac:dyDescent="0.2">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x14ac:dyDescent="0.2">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x14ac:dyDescent="0.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x14ac:dyDescent="0.2">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x14ac:dyDescent="0.2">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x14ac:dyDescent="0.2">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x14ac:dyDescent="0.2">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x14ac:dyDescent="0.2">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x14ac:dyDescent="0.2">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x14ac:dyDescent="0.2">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x14ac:dyDescent="0.2">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x14ac:dyDescent="0.2">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x14ac:dyDescent="0.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x14ac:dyDescent="0.2">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x14ac:dyDescent="0.2">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x14ac:dyDescent="0.2">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x14ac:dyDescent="0.2">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x14ac:dyDescent="0.2">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x14ac:dyDescent="0.2">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x14ac:dyDescent="0.2">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x14ac:dyDescent="0.2">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x14ac:dyDescent="0.2">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x14ac:dyDescent="0.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x14ac:dyDescent="0.2">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x14ac:dyDescent="0.2">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x14ac:dyDescent="0.2">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x14ac:dyDescent="0.2">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x14ac:dyDescent="0.2">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x14ac:dyDescent="0.2">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x14ac:dyDescent="0.2">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x14ac:dyDescent="0.2">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x14ac:dyDescent="0.2">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x14ac:dyDescent="0.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x14ac:dyDescent="0.2">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x14ac:dyDescent="0.2">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x14ac:dyDescent="0.2">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x14ac:dyDescent="0.2">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x14ac:dyDescent="0.2">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x14ac:dyDescent="0.2">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x14ac:dyDescent="0.2">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x14ac:dyDescent="0.2">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x14ac:dyDescent="0.2">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x14ac:dyDescent="0.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x14ac:dyDescent="0.2">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x14ac:dyDescent="0.2">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x14ac:dyDescent="0.2">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x14ac:dyDescent="0.2">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x14ac:dyDescent="0.2">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x14ac:dyDescent="0.2">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x14ac:dyDescent="0.2">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x14ac:dyDescent="0.2">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x14ac:dyDescent="0.2">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x14ac:dyDescent="0.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x14ac:dyDescent="0.2">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x14ac:dyDescent="0.2">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x14ac:dyDescent="0.2">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x14ac:dyDescent="0.2">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x14ac:dyDescent="0.2">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x14ac:dyDescent="0.2">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x14ac:dyDescent="0.2">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x14ac:dyDescent="0.2">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x14ac:dyDescent="0.2">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x14ac:dyDescent="0.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x14ac:dyDescent="0.2">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75" customHeight="1" x14ac:dyDescent="0.2">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75" customHeight="1" x14ac:dyDescent="0.2">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75" customHeight="1" x14ac:dyDescent="0.2">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75" customHeight="1" x14ac:dyDescent="0.2">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75" customHeight="1" x14ac:dyDescent="0.2">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5.75" customHeight="1" x14ac:dyDescent="0.2">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5.75" customHeight="1" x14ac:dyDescent="0.2">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7">
    <mergeCell ref="B15:B16"/>
    <mergeCell ref="B13:B14"/>
    <mergeCell ref="C2:G2"/>
    <mergeCell ref="C4:E4"/>
    <mergeCell ref="C5:E5"/>
    <mergeCell ref="B6:B7"/>
    <mergeCell ref="C6:E7"/>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topLeftCell="F1" workbookViewId="0">
      <selection activeCell="K10" sqref="K10"/>
    </sheetView>
  </sheetViews>
  <sheetFormatPr defaultColWidth="12.625" defaultRowHeight="15" customHeight="1" x14ac:dyDescent="0.15"/>
  <cols>
    <col min="1" max="1" width="1.375" customWidth="1"/>
    <col min="2" max="2" width="11.75" customWidth="1"/>
    <col min="3" max="3" width="26.5" customWidth="1"/>
    <col min="4" max="4" width="31.75" customWidth="1"/>
    <col min="5" max="5" width="25.625" customWidth="1"/>
    <col min="6" max="6" width="30.625" customWidth="1"/>
    <col min="7" max="16" width="9" customWidth="1"/>
    <col min="17" max="26" width="8" customWidth="1"/>
  </cols>
  <sheetData>
    <row r="1" spans="1:26" ht="25.5" customHeight="1" x14ac:dyDescent="0.4">
      <c r="A1" s="8"/>
      <c r="B1" s="27"/>
      <c r="C1" s="28"/>
      <c r="D1" s="29" t="s">
        <v>15</v>
      </c>
      <c r="E1" s="30"/>
      <c r="F1" s="28"/>
      <c r="G1" s="8"/>
      <c r="H1" s="8"/>
      <c r="I1" s="8"/>
      <c r="J1" s="8"/>
      <c r="K1" s="8"/>
      <c r="L1" s="8"/>
      <c r="M1" s="8"/>
      <c r="N1" s="8"/>
      <c r="O1" s="8"/>
      <c r="P1" s="8"/>
      <c r="Q1" s="8"/>
      <c r="R1" s="8"/>
      <c r="S1" s="8"/>
      <c r="T1" s="8"/>
      <c r="U1" s="8"/>
      <c r="V1" s="8"/>
      <c r="W1" s="8"/>
      <c r="X1" s="8"/>
      <c r="Y1" s="8"/>
      <c r="Z1" s="8"/>
    </row>
    <row r="2" spans="1:26" ht="13.5" customHeight="1" x14ac:dyDescent="0.2">
      <c r="A2" s="8"/>
      <c r="B2" s="27"/>
      <c r="C2" s="28"/>
      <c r="D2" s="31"/>
      <c r="E2" s="31"/>
      <c r="F2" s="28"/>
      <c r="G2" s="8"/>
      <c r="H2" s="8"/>
      <c r="I2" s="8"/>
      <c r="J2" s="8"/>
      <c r="K2" s="8"/>
      <c r="L2" s="8"/>
      <c r="M2" s="8"/>
      <c r="N2" s="8"/>
      <c r="O2" s="8"/>
      <c r="P2" s="8"/>
      <c r="Q2" s="8"/>
      <c r="R2" s="8"/>
      <c r="S2" s="8"/>
      <c r="T2" s="8"/>
      <c r="U2" s="8"/>
      <c r="V2" s="8"/>
      <c r="W2" s="8"/>
      <c r="X2" s="8"/>
      <c r="Y2" s="8"/>
      <c r="Z2" s="8"/>
    </row>
    <row r="3" spans="1:26" ht="12.75" customHeight="1" x14ac:dyDescent="0.2">
      <c r="A3" s="8"/>
      <c r="B3" s="168" t="s">
        <v>1</v>
      </c>
      <c r="C3" s="156"/>
      <c r="D3" s="169" t="str">
        <f>Cover!C4</f>
        <v>Website Quản lý đồ án tốt nghiệp</v>
      </c>
      <c r="E3" s="156"/>
      <c r="F3" s="157"/>
      <c r="G3" s="8"/>
      <c r="H3" s="8"/>
      <c r="I3" s="8"/>
      <c r="J3" s="8"/>
      <c r="K3" s="8"/>
      <c r="L3" s="8"/>
      <c r="M3" s="8"/>
      <c r="N3" s="8"/>
      <c r="O3" s="8"/>
      <c r="P3" s="8"/>
      <c r="Q3" s="8"/>
      <c r="R3" s="8"/>
      <c r="S3" s="8"/>
      <c r="T3" s="8"/>
      <c r="U3" s="8"/>
      <c r="V3" s="8"/>
      <c r="W3" s="8"/>
      <c r="X3" s="8"/>
      <c r="Y3" s="8"/>
      <c r="Z3" s="8"/>
    </row>
    <row r="4" spans="1:26" ht="12.75" customHeight="1" x14ac:dyDescent="0.2">
      <c r="A4" s="8"/>
      <c r="B4" s="168" t="s">
        <v>3</v>
      </c>
      <c r="C4" s="156"/>
      <c r="D4" s="169" t="str">
        <f>Cover!C5</f>
        <v>DA3</v>
      </c>
      <c r="E4" s="156"/>
      <c r="F4" s="157"/>
      <c r="G4" s="8"/>
      <c r="H4" s="8"/>
      <c r="I4" s="8"/>
      <c r="J4" s="8"/>
      <c r="K4" s="8"/>
      <c r="L4" s="8"/>
      <c r="M4" s="8"/>
      <c r="N4" s="8"/>
      <c r="O4" s="8"/>
      <c r="P4" s="8"/>
      <c r="Q4" s="8"/>
      <c r="R4" s="8"/>
      <c r="S4" s="8"/>
      <c r="T4" s="8"/>
      <c r="U4" s="8"/>
      <c r="V4" s="8"/>
      <c r="W4" s="8"/>
      <c r="X4" s="8"/>
      <c r="Y4" s="8"/>
      <c r="Z4" s="8"/>
    </row>
    <row r="5" spans="1:26" ht="84.75" customHeight="1" x14ac:dyDescent="0.2">
      <c r="A5" s="32"/>
      <c r="B5" s="170" t="s">
        <v>16</v>
      </c>
      <c r="C5" s="157"/>
      <c r="D5" s="171" t="s">
        <v>53</v>
      </c>
      <c r="E5" s="156"/>
      <c r="F5" s="157"/>
      <c r="G5" s="32"/>
      <c r="H5" s="32"/>
      <c r="I5" s="32"/>
      <c r="J5" s="32"/>
      <c r="K5" s="32"/>
      <c r="L5" s="32"/>
      <c r="M5" s="32"/>
      <c r="N5" s="32"/>
      <c r="O5" s="32"/>
      <c r="P5" s="32"/>
      <c r="Q5" s="32"/>
      <c r="R5" s="32"/>
      <c r="S5" s="32"/>
      <c r="T5" s="32"/>
      <c r="U5" s="32"/>
      <c r="V5" s="32"/>
      <c r="W5" s="32"/>
      <c r="X5" s="32"/>
      <c r="Y5" s="32"/>
      <c r="Z5" s="32"/>
    </row>
    <row r="6" spans="1:26" ht="12.75" customHeight="1" x14ac:dyDescent="0.2">
      <c r="A6" s="8"/>
      <c r="B6" s="33"/>
      <c r="C6" s="8"/>
      <c r="D6" s="8"/>
      <c r="E6" s="8"/>
      <c r="F6" s="8"/>
      <c r="G6" s="8"/>
      <c r="H6" s="8"/>
      <c r="I6" s="8"/>
      <c r="J6" s="8"/>
      <c r="K6" s="8"/>
      <c r="L6" s="8"/>
      <c r="M6" s="8"/>
      <c r="N6" s="8"/>
      <c r="O6" s="8"/>
      <c r="P6" s="8"/>
      <c r="Q6" s="8"/>
      <c r="R6" s="8"/>
      <c r="S6" s="8"/>
      <c r="T6" s="8"/>
      <c r="U6" s="8"/>
      <c r="V6" s="8"/>
      <c r="W6" s="8"/>
      <c r="X6" s="8"/>
      <c r="Y6" s="8"/>
      <c r="Z6" s="8"/>
    </row>
    <row r="7" spans="1:26" ht="12.75" customHeight="1" x14ac:dyDescent="0.15">
      <c r="A7" s="34"/>
      <c r="B7" s="35"/>
      <c r="C7" s="36"/>
      <c r="D7" s="36"/>
      <c r="E7" s="36"/>
      <c r="F7" s="36"/>
      <c r="G7" s="34"/>
      <c r="H7" s="34"/>
      <c r="I7" s="34"/>
      <c r="J7" s="34"/>
      <c r="K7" s="34"/>
      <c r="L7" s="34"/>
      <c r="M7" s="34"/>
      <c r="N7" s="34"/>
      <c r="O7" s="34"/>
      <c r="P7" s="34"/>
      <c r="Q7" s="34"/>
      <c r="R7" s="34"/>
      <c r="S7" s="34"/>
      <c r="T7" s="34"/>
      <c r="U7" s="34"/>
      <c r="V7" s="34"/>
      <c r="W7" s="34"/>
      <c r="X7" s="34"/>
      <c r="Y7" s="34"/>
      <c r="Z7" s="34"/>
    </row>
    <row r="8" spans="1:26" ht="21" customHeight="1" x14ac:dyDescent="0.2">
      <c r="A8" s="37"/>
      <c r="B8" s="87" t="s">
        <v>17</v>
      </c>
      <c r="C8" s="88" t="s">
        <v>18</v>
      </c>
      <c r="D8" s="88" t="s">
        <v>19</v>
      </c>
      <c r="E8" s="89" t="s">
        <v>20</v>
      </c>
      <c r="F8" s="90" t="s">
        <v>21</v>
      </c>
      <c r="G8" s="37"/>
      <c r="H8" s="37"/>
      <c r="I8" s="37"/>
      <c r="J8" s="37"/>
      <c r="K8" s="37"/>
      <c r="L8" s="37"/>
      <c r="M8" s="37"/>
      <c r="N8" s="37"/>
      <c r="O8" s="37"/>
      <c r="P8" s="37"/>
      <c r="Q8" s="37"/>
      <c r="R8" s="37"/>
      <c r="S8" s="37"/>
      <c r="T8" s="37"/>
      <c r="U8" s="37"/>
      <c r="V8" s="37"/>
      <c r="W8" s="37"/>
      <c r="X8" s="37"/>
      <c r="Y8" s="37"/>
      <c r="Z8" s="37"/>
    </row>
    <row r="9" spans="1:26" ht="12.75" customHeight="1" x14ac:dyDescent="0.2">
      <c r="A9" s="8"/>
      <c r="B9" s="38">
        <v>1</v>
      </c>
      <c r="C9" s="81" t="s">
        <v>55</v>
      </c>
      <c r="D9" s="80" t="str">
        <f>HYPERLINK("#'1. Cập nhật ttcn'!H3","Cập nhật thông tin cá nhân")</f>
        <v>Cập nhật thông tin cá nhân</v>
      </c>
      <c r="E9" s="40"/>
      <c r="F9" s="41"/>
      <c r="G9" s="8"/>
      <c r="H9" s="8"/>
      <c r="I9" s="8"/>
      <c r="J9" s="8"/>
      <c r="K9" s="8"/>
      <c r="L9" s="8"/>
      <c r="M9" s="8"/>
      <c r="N9" s="8"/>
      <c r="O9" s="8"/>
      <c r="P9" s="8"/>
      <c r="Q9" s="8"/>
      <c r="R9" s="8"/>
      <c r="S9" s="8"/>
      <c r="T9" s="8"/>
      <c r="U9" s="8"/>
      <c r="V9" s="8"/>
      <c r="W9" s="8"/>
      <c r="X9" s="8"/>
      <c r="Y9" s="8"/>
      <c r="Z9" s="8"/>
    </row>
    <row r="10" spans="1:26" ht="12.75" customHeight="1" x14ac:dyDescent="0.2">
      <c r="A10" s="8"/>
      <c r="B10" s="38">
        <v>2</v>
      </c>
      <c r="C10" s="39" t="s">
        <v>56</v>
      </c>
      <c r="D10" s="80" t="str">
        <f>HYPERLINK("#'2. Đăng ký ĐT'!A1","Đăng ký đề tài")</f>
        <v>Đăng ký đề tài</v>
      </c>
      <c r="E10" s="40"/>
      <c r="F10" s="41"/>
      <c r="G10" s="8"/>
      <c r="H10" s="8"/>
      <c r="I10" s="8"/>
      <c r="J10" s="8"/>
      <c r="K10" s="8"/>
      <c r="L10" s="8"/>
      <c r="M10" s="8"/>
      <c r="N10" s="8"/>
      <c r="O10" s="8"/>
      <c r="P10" s="8"/>
      <c r="Q10" s="8"/>
      <c r="R10" s="8"/>
      <c r="S10" s="8"/>
      <c r="T10" s="8"/>
      <c r="U10" s="8"/>
      <c r="V10" s="8"/>
      <c r="W10" s="8"/>
      <c r="X10" s="8"/>
      <c r="Y10" s="8"/>
      <c r="Z10" s="8"/>
    </row>
    <row r="11" spans="1:26" ht="12.75" customHeight="1" x14ac:dyDescent="0.2">
      <c r="A11" s="8"/>
      <c r="B11" s="38">
        <v>3</v>
      </c>
      <c r="C11" s="39" t="s">
        <v>57</v>
      </c>
      <c r="D11" s="80" t="str">
        <f>HYPERLINK("#'3. Đề xuất ĐT'!A1","Đề xuất đề tài")</f>
        <v>Đề xuất đề tài</v>
      </c>
      <c r="E11" s="40"/>
      <c r="F11" s="41"/>
      <c r="G11" s="8"/>
      <c r="H11" s="8"/>
      <c r="I11" s="8"/>
      <c r="J11" s="8"/>
      <c r="K11" s="8"/>
      <c r="L11" s="8"/>
      <c r="M11" s="8"/>
      <c r="N11" s="8"/>
      <c r="O11" s="8"/>
      <c r="P11" s="8"/>
      <c r="Q11" s="8"/>
      <c r="R11" s="8"/>
      <c r="S11" s="8"/>
      <c r="T11" s="8"/>
      <c r="U11" s="8"/>
      <c r="V11" s="8"/>
      <c r="W11" s="8"/>
      <c r="X11" s="8"/>
      <c r="Y11" s="8"/>
      <c r="Z11" s="8"/>
    </row>
    <row r="12" spans="1:26" ht="12.75" customHeight="1" x14ac:dyDescent="0.2">
      <c r="A12" s="8"/>
      <c r="B12" s="38">
        <v>4</v>
      </c>
      <c r="C12" s="81" t="s">
        <v>58</v>
      </c>
      <c r="D12" s="80" t="str">
        <f>HYPERLINK("#'4. Xem trạng thái đăng ký ĐT'!A1","Xem trạng thái đăng ký đề tài")</f>
        <v>Xem trạng thái đăng ký đề tài</v>
      </c>
      <c r="E12" s="40"/>
      <c r="F12" s="41"/>
      <c r="G12" s="8"/>
      <c r="H12" s="8"/>
      <c r="I12" s="8"/>
      <c r="J12" s="8"/>
      <c r="K12" s="8"/>
      <c r="L12" s="8"/>
      <c r="M12" s="8"/>
      <c r="N12" s="8"/>
      <c r="O12" s="8"/>
      <c r="P12" s="8"/>
      <c r="Q12" s="8"/>
      <c r="R12" s="8"/>
      <c r="S12" s="8"/>
      <c r="T12" s="8"/>
      <c r="U12" s="8"/>
      <c r="V12" s="8"/>
      <c r="W12" s="8"/>
      <c r="X12" s="8"/>
      <c r="Y12" s="8"/>
      <c r="Z12" s="8"/>
    </row>
    <row r="13" spans="1:26" ht="12.75" customHeight="1" x14ac:dyDescent="0.2">
      <c r="A13" s="8"/>
      <c r="B13" s="38">
        <v>5</v>
      </c>
      <c r="C13" s="81" t="s">
        <v>59</v>
      </c>
      <c r="D13" s="80" t="str">
        <f>HYPERLINK("#'5. Xem quy trình HD'!A1","Xem quy trình hướng dẫn")</f>
        <v>Xem quy trình hướng dẫn</v>
      </c>
      <c r="E13" s="42"/>
      <c r="F13" s="41"/>
      <c r="G13" s="8"/>
      <c r="H13" s="8"/>
      <c r="I13" s="8"/>
      <c r="J13" s="8"/>
      <c r="K13" s="8"/>
      <c r="L13" s="8"/>
      <c r="M13" s="8"/>
      <c r="N13" s="8"/>
      <c r="O13" s="8"/>
      <c r="P13" s="8"/>
      <c r="Q13" s="8"/>
      <c r="R13" s="8"/>
      <c r="S13" s="8"/>
      <c r="T13" s="8"/>
      <c r="U13" s="8"/>
      <c r="V13" s="8"/>
      <c r="W13" s="8"/>
      <c r="X13" s="8"/>
      <c r="Y13" s="8"/>
      <c r="Z13" s="8"/>
    </row>
    <row r="14" spans="1:26" ht="12.75" customHeight="1" x14ac:dyDescent="0.2">
      <c r="A14" s="8"/>
      <c r="B14" s="38">
        <v>6</v>
      </c>
      <c r="C14" s="81" t="s">
        <v>60</v>
      </c>
      <c r="D14" s="80" t="str">
        <f>HYPERLINK("#'6. Nộp báo cáo tuần'!A1","Nộp báo cáo tuần")</f>
        <v>Nộp báo cáo tuần</v>
      </c>
      <c r="E14" s="42"/>
      <c r="F14" s="41"/>
      <c r="G14" s="8"/>
      <c r="H14" s="8"/>
      <c r="I14" s="8"/>
      <c r="J14" s="8"/>
      <c r="K14" s="8"/>
      <c r="L14" s="8"/>
      <c r="M14" s="8"/>
      <c r="N14" s="8"/>
      <c r="O14" s="8"/>
      <c r="P14" s="8"/>
      <c r="Q14" s="8"/>
      <c r="R14" s="8"/>
      <c r="S14" s="8"/>
      <c r="T14" s="8"/>
      <c r="U14" s="8"/>
      <c r="V14" s="8"/>
      <c r="W14" s="8"/>
      <c r="X14" s="8"/>
      <c r="Y14" s="8"/>
      <c r="Z14" s="8"/>
    </row>
    <row r="15" spans="1:26" ht="12.75" customHeight="1" x14ac:dyDescent="0.2">
      <c r="A15" s="8"/>
      <c r="B15" s="38">
        <v>7</v>
      </c>
      <c r="C15" s="81" t="s">
        <v>61</v>
      </c>
      <c r="D15" s="80" t="str">
        <f>HYPERLINK("#'7. Nộp BC cuối'!A1","Nộp báo cáo cuối")</f>
        <v>Nộp báo cáo cuối</v>
      </c>
      <c r="E15" s="42"/>
      <c r="F15" s="41"/>
      <c r="G15" s="8"/>
      <c r="H15" s="8"/>
      <c r="I15" s="8"/>
      <c r="J15" s="8"/>
      <c r="K15" s="8"/>
      <c r="L15" s="8"/>
      <c r="M15" s="8"/>
      <c r="N15" s="8"/>
      <c r="O15" s="8"/>
      <c r="P15" s="8"/>
      <c r="Q15" s="8"/>
      <c r="R15" s="8"/>
      <c r="S15" s="8"/>
      <c r="T15" s="8"/>
      <c r="U15" s="8"/>
      <c r="V15" s="8"/>
      <c r="W15" s="8"/>
      <c r="X15" s="8"/>
      <c r="Y15" s="8"/>
      <c r="Z15" s="8"/>
    </row>
    <row r="16" spans="1:26" ht="12.75" customHeight="1" x14ac:dyDescent="0.2">
      <c r="A16" s="8"/>
      <c r="B16" s="38">
        <v>8</v>
      </c>
      <c r="C16" s="39" t="s">
        <v>1220</v>
      </c>
      <c r="D16" s="80" t="str">
        <f>HYPERLINK("#'8. Xem PB'!A1","Xem thông tin phản biện")</f>
        <v>Xem thông tin phản biện</v>
      </c>
      <c r="E16" s="42"/>
      <c r="F16" s="41"/>
      <c r="G16" s="8"/>
      <c r="H16" s="8"/>
      <c r="I16" s="8"/>
      <c r="J16" s="8"/>
      <c r="K16" s="8"/>
      <c r="L16" s="8"/>
      <c r="M16" s="8"/>
      <c r="N16" s="8"/>
      <c r="O16" s="8"/>
      <c r="P16" s="8"/>
      <c r="Q16" s="8"/>
      <c r="R16" s="8"/>
      <c r="S16" s="8"/>
      <c r="T16" s="8"/>
      <c r="U16" s="8"/>
      <c r="V16" s="8"/>
      <c r="W16" s="8"/>
      <c r="X16" s="8"/>
      <c r="Y16" s="8"/>
      <c r="Z16" s="8"/>
    </row>
    <row r="17" spans="1:26" ht="12.75" customHeight="1" x14ac:dyDescent="0.2">
      <c r="A17" s="8"/>
      <c r="B17" s="38">
        <v>9</v>
      </c>
      <c r="C17" s="81" t="s">
        <v>62</v>
      </c>
      <c r="D17" s="80" t="str">
        <f>HYPERLINK("#'10. Xem HĐBV'!A1","Xem thông tin hội đồng bảo vệ")</f>
        <v>Xem thông tin hội đồng bảo vệ</v>
      </c>
      <c r="E17" s="42"/>
      <c r="F17" s="41"/>
      <c r="G17" s="8"/>
      <c r="H17" s="8"/>
      <c r="I17" s="8"/>
      <c r="J17" s="8"/>
      <c r="K17" s="8"/>
      <c r="L17" s="8"/>
      <c r="M17" s="8"/>
      <c r="N17" s="8"/>
      <c r="O17" s="8"/>
      <c r="P17" s="8"/>
      <c r="Q17" s="8"/>
      <c r="R17" s="8"/>
      <c r="S17" s="8"/>
      <c r="T17" s="8"/>
      <c r="U17" s="8"/>
      <c r="V17" s="8"/>
      <c r="W17" s="8"/>
      <c r="X17" s="8"/>
      <c r="Y17" s="8"/>
      <c r="Z17" s="8"/>
    </row>
    <row r="18" spans="1:26" ht="12.75" customHeight="1" x14ac:dyDescent="0.2">
      <c r="A18" s="8"/>
      <c r="B18" s="38">
        <v>10</v>
      </c>
      <c r="C18" s="39" t="s">
        <v>63</v>
      </c>
      <c r="D18" s="80" t="str">
        <f>HYPERLINK("#'11. Đăng nhập'!A1","Đăng nhập")</f>
        <v>Đăng nhập</v>
      </c>
      <c r="E18" s="42"/>
      <c r="F18" s="41"/>
      <c r="G18" s="8"/>
      <c r="H18" s="8"/>
      <c r="I18" s="8"/>
      <c r="J18" s="8"/>
      <c r="K18" s="8"/>
      <c r="L18" s="8"/>
      <c r="M18" s="8"/>
      <c r="N18" s="8"/>
      <c r="O18" s="8"/>
      <c r="P18" s="8"/>
      <c r="Q18" s="8"/>
      <c r="R18" s="8"/>
      <c r="S18" s="8"/>
      <c r="T18" s="8"/>
      <c r="U18" s="8"/>
      <c r="V18" s="8"/>
      <c r="W18" s="8"/>
      <c r="X18" s="8"/>
      <c r="Y18" s="8"/>
      <c r="Z18" s="8"/>
    </row>
    <row r="19" spans="1:26" ht="12.75" customHeight="1" x14ac:dyDescent="0.2">
      <c r="A19" s="8"/>
      <c r="B19" s="43"/>
      <c r="C19" s="44"/>
      <c r="D19" s="79"/>
      <c r="E19" s="45"/>
      <c r="F19" s="46"/>
      <c r="G19" s="8"/>
      <c r="H19" s="8"/>
      <c r="I19" s="8"/>
      <c r="J19" s="8"/>
      <c r="K19" s="8"/>
      <c r="L19" s="8"/>
      <c r="M19" s="8"/>
      <c r="N19" s="8"/>
      <c r="O19" s="8"/>
      <c r="P19" s="8"/>
      <c r="Q19" s="8"/>
      <c r="R19" s="8"/>
      <c r="S19" s="8"/>
      <c r="T19" s="8"/>
      <c r="U19" s="8"/>
      <c r="V19" s="8"/>
      <c r="W19" s="8"/>
      <c r="X19" s="8"/>
      <c r="Y19" s="8"/>
      <c r="Z19" s="8"/>
    </row>
    <row r="20" spans="1:26" ht="12.75" customHeight="1" x14ac:dyDescent="0.2">
      <c r="A20" s="8"/>
      <c r="B20" s="27"/>
      <c r="C20" s="28"/>
      <c r="D20" s="28"/>
      <c r="E20" s="28"/>
      <c r="F20" s="28"/>
      <c r="G20" s="8"/>
      <c r="H20" s="8"/>
      <c r="I20" s="8"/>
      <c r="J20" s="8"/>
      <c r="K20" s="8"/>
      <c r="L20" s="8"/>
      <c r="M20" s="8"/>
      <c r="N20" s="8"/>
      <c r="O20" s="8"/>
      <c r="P20" s="8"/>
      <c r="Q20" s="8"/>
      <c r="R20" s="8"/>
      <c r="S20" s="8"/>
      <c r="T20" s="8"/>
      <c r="U20" s="8"/>
      <c r="V20" s="8"/>
      <c r="W20" s="8"/>
      <c r="X20" s="8"/>
      <c r="Y20" s="8"/>
      <c r="Z20" s="8"/>
    </row>
    <row r="21" spans="1:26" ht="12.75" customHeight="1" x14ac:dyDescent="0.2">
      <c r="A21" s="8"/>
      <c r="B21" s="27"/>
      <c r="C21" s="28"/>
      <c r="D21" s="28"/>
      <c r="E21" s="28"/>
      <c r="F21" s="28"/>
      <c r="G21" s="8"/>
      <c r="H21" s="8"/>
      <c r="I21" s="8"/>
      <c r="J21" s="8"/>
      <c r="K21" s="8"/>
      <c r="L21" s="8"/>
      <c r="M21" s="8"/>
      <c r="N21" s="8"/>
      <c r="O21" s="8"/>
      <c r="P21" s="8"/>
      <c r="Q21" s="8"/>
      <c r="R21" s="8"/>
      <c r="S21" s="8"/>
      <c r="T21" s="8"/>
      <c r="U21" s="8"/>
      <c r="V21" s="8"/>
      <c r="W21" s="8"/>
      <c r="X21" s="8"/>
      <c r="Y21" s="8"/>
      <c r="Z21" s="8"/>
    </row>
    <row r="22" spans="1:26" ht="12.75" customHeight="1" x14ac:dyDescent="0.2">
      <c r="A22" s="8"/>
      <c r="B22" s="27"/>
      <c r="C22" s="28"/>
      <c r="D22" s="28"/>
      <c r="E22" s="28"/>
      <c r="F22" s="28"/>
      <c r="G22" s="8"/>
      <c r="H22" s="8"/>
      <c r="I22" s="8"/>
      <c r="J22" s="8"/>
      <c r="K22" s="8"/>
      <c r="L22" s="8"/>
      <c r="M22" s="8"/>
      <c r="N22" s="8"/>
      <c r="O22" s="8"/>
      <c r="P22" s="8"/>
      <c r="Q22" s="8"/>
      <c r="R22" s="8"/>
      <c r="S22" s="8"/>
      <c r="T22" s="8"/>
      <c r="U22" s="8"/>
      <c r="V22" s="8"/>
      <c r="W22" s="8"/>
      <c r="X22" s="8"/>
      <c r="Y22" s="8"/>
      <c r="Z22" s="8"/>
    </row>
    <row r="23" spans="1:26" ht="12.75" customHeight="1" x14ac:dyDescent="0.2">
      <c r="A23" s="8"/>
      <c r="B23" s="27"/>
      <c r="C23" s="28"/>
      <c r="D23" s="28"/>
      <c r="E23" s="28"/>
      <c r="F23" s="28"/>
      <c r="G23" s="8"/>
      <c r="H23" s="8"/>
      <c r="I23" s="8"/>
      <c r="J23" s="8"/>
      <c r="K23" s="8"/>
      <c r="L23" s="8"/>
      <c r="M23" s="8"/>
      <c r="N23" s="8"/>
      <c r="O23" s="8"/>
      <c r="P23" s="8"/>
      <c r="Q23" s="8"/>
      <c r="R23" s="8"/>
      <c r="S23" s="8"/>
      <c r="T23" s="8"/>
      <c r="U23" s="8"/>
      <c r="V23" s="8"/>
      <c r="W23" s="8"/>
      <c r="X23" s="8"/>
      <c r="Y23" s="8"/>
      <c r="Z23" s="8"/>
    </row>
    <row r="24" spans="1:26" ht="12.75" customHeight="1" x14ac:dyDescent="0.2">
      <c r="A24" s="8"/>
      <c r="B24" s="27"/>
      <c r="C24" s="28"/>
      <c r="D24" s="28"/>
      <c r="E24" s="28"/>
      <c r="F24" s="28"/>
      <c r="G24" s="8"/>
      <c r="H24" s="8"/>
      <c r="I24" s="8"/>
      <c r="J24" s="8"/>
      <c r="K24" s="8"/>
      <c r="L24" s="8"/>
      <c r="M24" s="8"/>
      <c r="N24" s="8"/>
      <c r="O24" s="8"/>
      <c r="P24" s="8"/>
      <c r="Q24" s="8"/>
      <c r="R24" s="8"/>
      <c r="S24" s="8"/>
      <c r="T24" s="8"/>
      <c r="U24" s="8"/>
      <c r="V24" s="8"/>
      <c r="W24" s="8"/>
      <c r="X24" s="8"/>
      <c r="Y24" s="8"/>
      <c r="Z24" s="8"/>
    </row>
    <row r="25" spans="1:26" ht="12.75" customHeight="1" x14ac:dyDescent="0.2">
      <c r="A25" s="8"/>
      <c r="B25" s="27"/>
      <c r="C25" s="28"/>
      <c r="D25" s="28"/>
      <c r="E25" s="28"/>
      <c r="F25" s="28"/>
      <c r="G25" s="8"/>
      <c r="H25" s="8"/>
      <c r="I25" s="8"/>
      <c r="J25" s="8"/>
      <c r="K25" s="8"/>
      <c r="L25" s="8"/>
      <c r="M25" s="8"/>
      <c r="N25" s="8"/>
      <c r="O25" s="8"/>
      <c r="P25" s="8"/>
      <c r="Q25" s="8"/>
      <c r="R25" s="8"/>
      <c r="S25" s="8"/>
      <c r="T25" s="8"/>
      <c r="U25" s="8"/>
      <c r="V25" s="8"/>
      <c r="W25" s="8"/>
      <c r="X25" s="8"/>
      <c r="Y25" s="8"/>
      <c r="Z25" s="8"/>
    </row>
    <row r="26" spans="1:26" ht="12.75" customHeight="1" x14ac:dyDescent="0.2">
      <c r="A26" s="8"/>
      <c r="B26" s="27"/>
      <c r="C26" s="28"/>
      <c r="D26" s="28"/>
      <c r="E26" s="28"/>
      <c r="F26" s="28"/>
      <c r="G26" s="8"/>
      <c r="H26" s="8"/>
      <c r="I26" s="8"/>
      <c r="J26" s="8"/>
      <c r="K26" s="8"/>
      <c r="L26" s="8"/>
      <c r="M26" s="8"/>
      <c r="N26" s="8"/>
      <c r="O26" s="8"/>
      <c r="P26" s="8"/>
      <c r="Q26" s="8"/>
      <c r="R26" s="8"/>
      <c r="S26" s="8"/>
      <c r="T26" s="8"/>
      <c r="U26" s="8"/>
      <c r="V26" s="8"/>
      <c r="W26" s="8"/>
      <c r="X26" s="8"/>
      <c r="Y26" s="8"/>
      <c r="Z26" s="8"/>
    </row>
    <row r="27" spans="1:26" ht="12.75" customHeight="1" x14ac:dyDescent="0.2">
      <c r="A27" s="8"/>
      <c r="B27" s="27"/>
      <c r="C27" s="28"/>
      <c r="D27" s="28"/>
      <c r="E27" s="28"/>
      <c r="F27" s="28"/>
      <c r="G27" s="8"/>
      <c r="H27" s="8"/>
      <c r="I27" s="8"/>
      <c r="J27" s="8"/>
      <c r="K27" s="8"/>
      <c r="L27" s="8"/>
      <c r="M27" s="8"/>
      <c r="N27" s="8"/>
      <c r="O27" s="8"/>
      <c r="P27" s="8"/>
      <c r="Q27" s="8"/>
      <c r="R27" s="8"/>
      <c r="S27" s="8"/>
      <c r="T27" s="8"/>
      <c r="U27" s="8"/>
      <c r="V27" s="8"/>
      <c r="W27" s="8"/>
      <c r="X27" s="8"/>
      <c r="Y27" s="8"/>
      <c r="Z27" s="8"/>
    </row>
    <row r="28" spans="1:26" ht="12.75" customHeight="1" x14ac:dyDescent="0.2">
      <c r="A28" s="8"/>
      <c r="B28" s="27"/>
      <c r="C28" s="28"/>
      <c r="D28" s="28"/>
      <c r="E28" s="28"/>
      <c r="F28" s="28"/>
      <c r="G28" s="8"/>
      <c r="H28" s="8"/>
      <c r="I28" s="8"/>
      <c r="J28" s="8"/>
      <c r="K28" s="8"/>
      <c r="L28" s="8"/>
      <c r="M28" s="8"/>
      <c r="N28" s="8"/>
      <c r="O28" s="8"/>
      <c r="P28" s="8"/>
      <c r="Q28" s="8"/>
      <c r="R28" s="8"/>
      <c r="S28" s="8"/>
      <c r="T28" s="8"/>
      <c r="U28" s="8"/>
      <c r="V28" s="8"/>
      <c r="W28" s="8"/>
      <c r="X28" s="8"/>
      <c r="Y28" s="8"/>
      <c r="Z28" s="8"/>
    </row>
    <row r="29" spans="1:26" ht="12.75" customHeight="1" x14ac:dyDescent="0.2">
      <c r="A29" s="8"/>
      <c r="B29" s="27"/>
      <c r="C29" s="28"/>
      <c r="D29" s="28"/>
      <c r="E29" s="28"/>
      <c r="F29" s="28"/>
      <c r="G29" s="8"/>
      <c r="H29" s="8"/>
      <c r="I29" s="8"/>
      <c r="J29" s="8"/>
      <c r="K29" s="8"/>
      <c r="L29" s="8"/>
      <c r="M29" s="8"/>
      <c r="N29" s="8"/>
      <c r="O29" s="8"/>
      <c r="P29" s="8"/>
      <c r="Q29" s="8"/>
      <c r="R29" s="8"/>
      <c r="S29" s="8"/>
      <c r="T29" s="8"/>
      <c r="U29" s="8"/>
      <c r="V29" s="8"/>
      <c r="W29" s="8"/>
      <c r="X29" s="8"/>
      <c r="Y29" s="8"/>
      <c r="Z29" s="8"/>
    </row>
    <row r="30" spans="1:26" ht="12.75" customHeight="1" x14ac:dyDescent="0.2">
      <c r="A30" s="8"/>
      <c r="B30" s="27"/>
      <c r="C30" s="28"/>
      <c r="D30" s="28"/>
      <c r="E30" s="28"/>
      <c r="F30" s="28"/>
      <c r="G30" s="8"/>
      <c r="H30" s="8"/>
      <c r="I30" s="8"/>
      <c r="J30" s="8"/>
      <c r="K30" s="8"/>
      <c r="L30" s="8"/>
      <c r="M30" s="8"/>
      <c r="N30" s="8"/>
      <c r="O30" s="8"/>
      <c r="P30" s="8"/>
      <c r="Q30" s="8"/>
      <c r="R30" s="8"/>
      <c r="S30" s="8"/>
      <c r="T30" s="8"/>
      <c r="U30" s="8"/>
      <c r="V30" s="8"/>
      <c r="W30" s="8"/>
      <c r="X30" s="8"/>
      <c r="Y30" s="8"/>
      <c r="Z30" s="8"/>
    </row>
    <row r="31" spans="1:26" ht="12.75" customHeight="1" x14ac:dyDescent="0.2">
      <c r="A31" s="8"/>
      <c r="B31" s="27"/>
      <c r="C31" s="28"/>
      <c r="D31" s="28"/>
      <c r="E31" s="28"/>
      <c r="F31" s="28"/>
      <c r="G31" s="8"/>
      <c r="H31" s="8"/>
      <c r="I31" s="8"/>
      <c r="J31" s="8"/>
      <c r="K31" s="8"/>
      <c r="L31" s="8"/>
      <c r="M31" s="8"/>
      <c r="N31" s="8"/>
      <c r="O31" s="8"/>
      <c r="P31" s="8"/>
      <c r="Q31" s="8"/>
      <c r="R31" s="8"/>
      <c r="S31" s="8"/>
      <c r="T31" s="8"/>
      <c r="U31" s="8"/>
      <c r="V31" s="8"/>
      <c r="W31" s="8"/>
      <c r="X31" s="8"/>
      <c r="Y31" s="8"/>
      <c r="Z31" s="8"/>
    </row>
    <row r="32" spans="1:26" ht="12.75" customHeight="1" x14ac:dyDescent="0.2">
      <c r="A32" s="8"/>
      <c r="B32" s="27"/>
      <c r="C32" s="28"/>
      <c r="D32" s="28"/>
      <c r="E32" s="28"/>
      <c r="F32" s="28"/>
      <c r="G32" s="8"/>
      <c r="H32" s="8"/>
      <c r="I32" s="8"/>
      <c r="J32" s="28"/>
      <c r="K32" s="8"/>
      <c r="L32" s="8"/>
      <c r="M32" s="8"/>
      <c r="N32" s="8"/>
      <c r="O32" s="8"/>
      <c r="P32" s="8"/>
      <c r="Q32" s="8"/>
      <c r="R32" s="8"/>
      <c r="S32" s="8"/>
      <c r="T32" s="8"/>
      <c r="U32" s="8"/>
      <c r="V32" s="8"/>
      <c r="W32" s="8"/>
      <c r="X32" s="8"/>
      <c r="Y32" s="8"/>
      <c r="Z32" s="8"/>
    </row>
    <row r="33" spans="1:26" ht="12.75" customHeight="1" x14ac:dyDescent="0.2">
      <c r="A33" s="8"/>
      <c r="B33" s="27"/>
      <c r="C33" s="28"/>
      <c r="D33" s="28"/>
      <c r="E33" s="28"/>
      <c r="F33" s="28"/>
      <c r="G33" s="8"/>
      <c r="H33" s="8"/>
      <c r="I33" s="8"/>
      <c r="J33" s="28"/>
      <c r="K33" s="8"/>
      <c r="L33" s="8"/>
      <c r="M33" s="8"/>
      <c r="N33" s="8"/>
      <c r="O33" s="8"/>
      <c r="P33" s="8"/>
      <c r="Q33" s="8"/>
      <c r="R33" s="8"/>
      <c r="S33" s="8"/>
      <c r="T33" s="8"/>
      <c r="U33" s="8"/>
      <c r="V33" s="8"/>
      <c r="W33" s="8"/>
      <c r="X33" s="8"/>
      <c r="Y33" s="8"/>
      <c r="Z33" s="8"/>
    </row>
    <row r="34" spans="1:26" ht="12.75" customHeight="1" x14ac:dyDescent="0.2">
      <c r="A34" s="8"/>
      <c r="B34" s="27"/>
      <c r="C34" s="28"/>
      <c r="D34" s="28"/>
      <c r="E34" s="28"/>
      <c r="F34" s="28"/>
      <c r="G34" s="8"/>
      <c r="H34" s="8"/>
      <c r="I34" s="8"/>
      <c r="J34" s="28"/>
      <c r="K34" s="8"/>
      <c r="L34" s="8"/>
      <c r="M34" s="8"/>
      <c r="N34" s="8"/>
      <c r="O34" s="8"/>
      <c r="P34" s="8"/>
      <c r="Q34" s="8"/>
      <c r="R34" s="8"/>
      <c r="S34" s="8"/>
      <c r="T34" s="8"/>
      <c r="U34" s="8"/>
      <c r="V34" s="8"/>
      <c r="W34" s="8"/>
      <c r="X34" s="8"/>
      <c r="Y34" s="8"/>
      <c r="Z34" s="8"/>
    </row>
    <row r="35" spans="1:26" ht="12.75" customHeight="1" x14ac:dyDescent="0.2">
      <c r="A35" s="8"/>
      <c r="B35" s="27"/>
      <c r="C35" s="28"/>
      <c r="D35" s="28"/>
      <c r="E35" s="28"/>
      <c r="F35" s="28"/>
      <c r="G35" s="8"/>
      <c r="H35" s="8"/>
      <c r="I35" s="8"/>
      <c r="J35" s="28"/>
      <c r="K35" s="8"/>
      <c r="L35" s="8"/>
      <c r="M35" s="8"/>
      <c r="N35" s="8"/>
      <c r="O35" s="8"/>
      <c r="P35" s="8"/>
      <c r="Q35" s="8"/>
      <c r="R35" s="8"/>
      <c r="S35" s="8"/>
      <c r="T35" s="8"/>
      <c r="U35" s="8"/>
      <c r="V35" s="8"/>
      <c r="W35" s="8"/>
      <c r="X35" s="8"/>
      <c r="Y35" s="8"/>
      <c r="Z35" s="8"/>
    </row>
    <row r="36" spans="1:26" ht="12.75" customHeight="1" x14ac:dyDescent="0.2">
      <c r="A36" s="8"/>
      <c r="B36" s="27"/>
      <c r="C36" s="28"/>
      <c r="D36" s="28"/>
      <c r="E36" s="28"/>
      <c r="F36" s="28"/>
      <c r="G36" s="8"/>
      <c r="H36" s="8"/>
      <c r="I36" s="8"/>
      <c r="J36" s="28"/>
      <c r="K36" s="8"/>
      <c r="L36" s="8"/>
      <c r="M36" s="8"/>
      <c r="N36" s="8"/>
      <c r="O36" s="8"/>
      <c r="P36" s="8"/>
      <c r="Q36" s="8"/>
      <c r="R36" s="8"/>
      <c r="S36" s="8"/>
      <c r="T36" s="8"/>
      <c r="U36" s="8"/>
      <c r="V36" s="8"/>
      <c r="W36" s="8"/>
      <c r="X36" s="8"/>
      <c r="Y36" s="8"/>
      <c r="Z36" s="8"/>
    </row>
    <row r="37" spans="1:26" ht="12.75" customHeight="1" x14ac:dyDescent="0.2">
      <c r="A37" s="8"/>
      <c r="B37" s="27"/>
      <c r="C37" s="28"/>
      <c r="D37" s="28"/>
      <c r="E37" s="28"/>
      <c r="F37" s="28"/>
      <c r="G37" s="8"/>
      <c r="H37" s="8"/>
      <c r="I37" s="8"/>
      <c r="J37" s="8"/>
      <c r="K37" s="8"/>
      <c r="L37" s="8"/>
      <c r="M37" s="8"/>
      <c r="N37" s="8"/>
      <c r="O37" s="8"/>
      <c r="P37" s="8"/>
      <c r="Q37" s="8"/>
      <c r="R37" s="8"/>
      <c r="S37" s="8"/>
      <c r="T37" s="8"/>
      <c r="U37" s="8"/>
      <c r="V37" s="8"/>
      <c r="W37" s="8"/>
      <c r="X37" s="8"/>
      <c r="Y37" s="8"/>
      <c r="Z37" s="8"/>
    </row>
    <row r="38" spans="1:26" ht="12.75" customHeight="1" x14ac:dyDescent="0.2">
      <c r="A38" s="8"/>
      <c r="B38" s="27"/>
      <c r="C38" s="28"/>
      <c r="D38" s="28"/>
      <c r="E38" s="28"/>
      <c r="F38" s="28"/>
      <c r="G38" s="8"/>
      <c r="H38" s="8"/>
      <c r="I38" s="8"/>
      <c r="J38" s="8"/>
      <c r="K38" s="8"/>
      <c r="L38" s="8"/>
      <c r="M38" s="8"/>
      <c r="N38" s="8"/>
      <c r="O38" s="8"/>
      <c r="P38" s="8"/>
      <c r="Q38" s="8"/>
      <c r="R38" s="8"/>
      <c r="S38" s="8"/>
      <c r="T38" s="8"/>
      <c r="U38" s="8"/>
      <c r="V38" s="8"/>
      <c r="W38" s="8"/>
      <c r="X38" s="8"/>
      <c r="Y38" s="8"/>
      <c r="Z38" s="8"/>
    </row>
    <row r="39" spans="1:26" ht="12.75" customHeight="1" x14ac:dyDescent="0.2">
      <c r="A39" s="8"/>
      <c r="B39" s="27"/>
      <c r="C39" s="28"/>
      <c r="D39" s="28"/>
      <c r="E39" s="28"/>
      <c r="F39" s="28"/>
      <c r="G39" s="8"/>
      <c r="H39" s="8"/>
      <c r="I39" s="8"/>
      <c r="J39" s="8"/>
      <c r="K39" s="8"/>
      <c r="L39" s="8"/>
      <c r="M39" s="8"/>
      <c r="N39" s="8"/>
      <c r="O39" s="8"/>
      <c r="P39" s="8"/>
      <c r="Q39" s="8"/>
      <c r="R39" s="8"/>
      <c r="S39" s="8"/>
      <c r="T39" s="8"/>
      <c r="U39" s="8"/>
      <c r="V39" s="8"/>
      <c r="W39" s="8"/>
      <c r="X39" s="8"/>
      <c r="Y39" s="8"/>
      <c r="Z39" s="8"/>
    </row>
    <row r="40" spans="1:26" ht="12.75" customHeight="1" x14ac:dyDescent="0.2">
      <c r="A40" s="8"/>
      <c r="B40" s="27"/>
      <c r="C40" s="28"/>
      <c r="D40" s="28"/>
      <c r="E40" s="28"/>
      <c r="F40" s="28"/>
      <c r="G40" s="8"/>
      <c r="H40" s="8"/>
      <c r="I40" s="8"/>
      <c r="J40" s="8"/>
      <c r="K40" s="8"/>
      <c r="L40" s="8"/>
      <c r="M40" s="8"/>
      <c r="N40" s="8"/>
      <c r="O40" s="8"/>
      <c r="P40" s="8"/>
      <c r="Q40" s="8"/>
      <c r="R40" s="8"/>
      <c r="S40" s="8"/>
      <c r="T40" s="8"/>
      <c r="U40" s="8"/>
      <c r="V40" s="8"/>
      <c r="W40" s="8"/>
      <c r="X40" s="8"/>
      <c r="Y40" s="8"/>
      <c r="Z40" s="8"/>
    </row>
    <row r="41" spans="1:26" ht="12.75" customHeight="1" x14ac:dyDescent="0.2">
      <c r="A41" s="8"/>
      <c r="B41" s="27"/>
      <c r="C41" s="28"/>
      <c r="D41" s="28"/>
      <c r="E41" s="28"/>
      <c r="F41" s="28"/>
      <c r="G41" s="8"/>
      <c r="H41" s="8"/>
      <c r="I41" s="8"/>
      <c r="J41" s="8"/>
      <c r="K41" s="8"/>
      <c r="L41" s="8"/>
      <c r="M41" s="8"/>
      <c r="N41" s="8"/>
      <c r="O41" s="8"/>
      <c r="P41" s="8"/>
      <c r="Q41" s="8"/>
      <c r="R41" s="8"/>
      <c r="S41" s="8"/>
      <c r="T41" s="8"/>
      <c r="U41" s="8"/>
      <c r="V41" s="8"/>
      <c r="W41" s="8"/>
      <c r="X41" s="8"/>
      <c r="Y41" s="8"/>
      <c r="Z41" s="8"/>
    </row>
    <row r="42" spans="1:26" ht="12.75" customHeight="1" x14ac:dyDescent="0.2">
      <c r="A42" s="8"/>
      <c r="B42" s="27"/>
      <c r="C42" s="28"/>
      <c r="D42" s="28"/>
      <c r="E42" s="28"/>
      <c r="F42" s="28"/>
      <c r="G42" s="8"/>
      <c r="H42" s="8"/>
      <c r="I42" s="8"/>
      <c r="J42" s="8"/>
      <c r="K42" s="8"/>
      <c r="L42" s="8"/>
      <c r="M42" s="8"/>
      <c r="N42" s="8"/>
      <c r="O42" s="8"/>
      <c r="P42" s="8"/>
      <c r="Q42" s="8"/>
      <c r="R42" s="8"/>
      <c r="S42" s="8"/>
      <c r="T42" s="8"/>
      <c r="U42" s="8"/>
      <c r="V42" s="8"/>
      <c r="W42" s="8"/>
      <c r="X42" s="8"/>
      <c r="Y42" s="8"/>
      <c r="Z42" s="8"/>
    </row>
    <row r="43" spans="1:26" ht="12.75" customHeight="1" x14ac:dyDescent="0.2">
      <c r="A43" s="8"/>
      <c r="B43" s="27"/>
      <c r="C43" s="28"/>
      <c r="D43" s="28"/>
      <c r="E43" s="28"/>
      <c r="F43" s="28"/>
      <c r="G43" s="8"/>
      <c r="H43" s="8"/>
      <c r="I43" s="8"/>
      <c r="J43" s="8"/>
      <c r="K43" s="8"/>
      <c r="L43" s="8"/>
      <c r="M43" s="8"/>
      <c r="N43" s="8"/>
      <c r="O43" s="8"/>
      <c r="P43" s="8"/>
      <c r="Q43" s="8"/>
      <c r="R43" s="8"/>
      <c r="S43" s="8"/>
      <c r="T43" s="8"/>
      <c r="U43" s="8"/>
      <c r="V43" s="8"/>
      <c r="W43" s="8"/>
      <c r="X43" s="8"/>
      <c r="Y43" s="8"/>
      <c r="Z43" s="8"/>
    </row>
    <row r="44" spans="1:26" ht="12.75" customHeight="1" x14ac:dyDescent="0.2">
      <c r="A44" s="8"/>
      <c r="B44" s="27"/>
      <c r="C44" s="28"/>
      <c r="D44" s="28"/>
      <c r="E44" s="28"/>
      <c r="F44" s="28"/>
      <c r="G44" s="8"/>
      <c r="H44" s="8"/>
      <c r="I44" s="8"/>
      <c r="J44" s="8"/>
      <c r="K44" s="8"/>
      <c r="L44" s="8"/>
      <c r="M44" s="8"/>
      <c r="N44" s="8"/>
      <c r="O44" s="8"/>
      <c r="P44" s="8"/>
      <c r="Q44" s="8"/>
      <c r="R44" s="8"/>
      <c r="S44" s="8"/>
      <c r="T44" s="8"/>
      <c r="U44" s="8"/>
      <c r="V44" s="8"/>
      <c r="W44" s="8"/>
      <c r="X44" s="8"/>
      <c r="Y44" s="8"/>
      <c r="Z44" s="8"/>
    </row>
    <row r="45" spans="1:26" ht="12.75" customHeight="1" x14ac:dyDescent="0.2">
      <c r="A45" s="8"/>
      <c r="B45" s="27"/>
      <c r="C45" s="28"/>
      <c r="D45" s="28"/>
      <c r="E45" s="28"/>
      <c r="F45" s="28"/>
      <c r="G45" s="8"/>
      <c r="H45" s="8"/>
      <c r="I45" s="8"/>
      <c r="J45" s="8"/>
      <c r="K45" s="8"/>
      <c r="L45" s="8"/>
      <c r="M45" s="8"/>
      <c r="N45" s="8"/>
      <c r="O45" s="8"/>
      <c r="P45" s="8"/>
      <c r="Q45" s="8"/>
      <c r="R45" s="8"/>
      <c r="S45" s="8"/>
      <c r="T45" s="8"/>
      <c r="U45" s="8"/>
      <c r="V45" s="8"/>
      <c r="W45" s="8"/>
      <c r="X45" s="8"/>
      <c r="Y45" s="8"/>
      <c r="Z45" s="8"/>
    </row>
    <row r="46" spans="1:26" ht="12.75" customHeight="1" x14ac:dyDescent="0.2">
      <c r="A46" s="8"/>
      <c r="B46" s="27"/>
      <c r="C46" s="28"/>
      <c r="D46" s="28"/>
      <c r="E46" s="28"/>
      <c r="F46" s="28"/>
      <c r="G46" s="8"/>
      <c r="H46" s="8"/>
      <c r="I46" s="8"/>
      <c r="J46" s="8"/>
      <c r="K46" s="8"/>
      <c r="L46" s="8"/>
      <c r="M46" s="8"/>
      <c r="N46" s="8"/>
      <c r="O46" s="8"/>
      <c r="P46" s="8"/>
      <c r="Q46" s="8"/>
      <c r="R46" s="8"/>
      <c r="S46" s="8"/>
      <c r="T46" s="8"/>
      <c r="U46" s="8"/>
      <c r="V46" s="8"/>
      <c r="W46" s="8"/>
      <c r="X46" s="8"/>
      <c r="Y46" s="8"/>
      <c r="Z46" s="8"/>
    </row>
    <row r="47" spans="1:26" ht="12.75" customHeight="1" x14ac:dyDescent="0.2">
      <c r="A47" s="8"/>
      <c r="B47" s="27"/>
      <c r="C47" s="28"/>
      <c r="D47" s="28"/>
      <c r="E47" s="28"/>
      <c r="F47" s="28"/>
      <c r="G47" s="8"/>
      <c r="H47" s="8"/>
      <c r="I47" s="8"/>
      <c r="J47" s="8"/>
      <c r="K47" s="8"/>
      <c r="L47" s="8"/>
      <c r="M47" s="8"/>
      <c r="N47" s="8"/>
      <c r="O47" s="8"/>
      <c r="P47" s="8"/>
      <c r="Q47" s="8"/>
      <c r="R47" s="8"/>
      <c r="S47" s="8"/>
      <c r="T47" s="8"/>
      <c r="U47" s="8"/>
      <c r="V47" s="8"/>
      <c r="W47" s="8"/>
      <c r="X47" s="8"/>
      <c r="Y47" s="8"/>
      <c r="Z47" s="8"/>
    </row>
    <row r="48" spans="1:26" ht="12.75" customHeight="1" x14ac:dyDescent="0.2">
      <c r="A48" s="8"/>
      <c r="B48" s="27"/>
      <c r="C48" s="28"/>
      <c r="D48" s="28"/>
      <c r="E48" s="28"/>
      <c r="F48" s="28"/>
      <c r="G48" s="8"/>
      <c r="H48" s="8"/>
      <c r="I48" s="8"/>
      <c r="J48" s="8"/>
      <c r="K48" s="8"/>
      <c r="L48" s="8"/>
      <c r="M48" s="8"/>
      <c r="N48" s="8"/>
      <c r="O48" s="8"/>
      <c r="P48" s="8"/>
      <c r="Q48" s="8"/>
      <c r="R48" s="8"/>
      <c r="S48" s="8"/>
      <c r="T48" s="8"/>
      <c r="U48" s="8"/>
      <c r="V48" s="8"/>
      <c r="W48" s="8"/>
      <c r="X48" s="8"/>
      <c r="Y48" s="8"/>
      <c r="Z48" s="8"/>
    </row>
    <row r="49" spans="1:26" ht="12.75" customHeight="1" x14ac:dyDescent="0.2">
      <c r="A49" s="8"/>
      <c r="B49" s="27"/>
      <c r="C49" s="28"/>
      <c r="D49" s="28"/>
      <c r="E49" s="28"/>
      <c r="F49" s="28"/>
      <c r="G49" s="8"/>
      <c r="H49" s="8"/>
      <c r="I49" s="8"/>
      <c r="J49" s="8"/>
      <c r="K49" s="8"/>
      <c r="L49" s="8"/>
      <c r="M49" s="8"/>
      <c r="N49" s="8"/>
      <c r="O49" s="8"/>
      <c r="P49" s="8"/>
      <c r="Q49" s="8"/>
      <c r="R49" s="8"/>
      <c r="S49" s="8"/>
      <c r="T49" s="8"/>
      <c r="U49" s="8"/>
      <c r="V49" s="8"/>
      <c r="W49" s="8"/>
      <c r="X49" s="8"/>
      <c r="Y49" s="8"/>
      <c r="Z49" s="8"/>
    </row>
    <row r="50" spans="1:26" ht="12.75" customHeight="1" x14ac:dyDescent="0.2">
      <c r="A50" s="8"/>
      <c r="B50" s="27"/>
      <c r="C50" s="28"/>
      <c r="D50" s="28"/>
      <c r="E50" s="28"/>
      <c r="F50" s="28"/>
      <c r="G50" s="8"/>
      <c r="H50" s="8"/>
      <c r="I50" s="8"/>
      <c r="J50" s="8"/>
      <c r="K50" s="8"/>
      <c r="L50" s="8"/>
      <c r="M50" s="8"/>
      <c r="N50" s="8"/>
      <c r="O50" s="8"/>
      <c r="P50" s="8"/>
      <c r="Q50" s="8"/>
      <c r="R50" s="8"/>
      <c r="S50" s="8"/>
      <c r="T50" s="8"/>
      <c r="U50" s="8"/>
      <c r="V50" s="8"/>
      <c r="W50" s="8"/>
      <c r="X50" s="8"/>
      <c r="Y50" s="8"/>
      <c r="Z50" s="8"/>
    </row>
    <row r="51" spans="1:26" ht="12.75" customHeight="1" x14ac:dyDescent="0.2">
      <c r="A51" s="8"/>
      <c r="B51" s="27"/>
      <c r="C51" s="28"/>
      <c r="D51" s="28"/>
      <c r="E51" s="28"/>
      <c r="F51" s="28"/>
      <c r="G51" s="8"/>
      <c r="H51" s="8"/>
      <c r="I51" s="8"/>
      <c r="J51" s="8"/>
      <c r="K51" s="8"/>
      <c r="L51" s="8"/>
      <c r="M51" s="8"/>
      <c r="N51" s="8"/>
      <c r="O51" s="8"/>
      <c r="P51" s="8"/>
      <c r="Q51" s="8"/>
      <c r="R51" s="8"/>
      <c r="S51" s="8"/>
      <c r="T51" s="8"/>
      <c r="U51" s="8"/>
      <c r="V51" s="8"/>
      <c r="W51" s="8"/>
      <c r="X51" s="8"/>
      <c r="Y51" s="8"/>
      <c r="Z51" s="8"/>
    </row>
    <row r="52" spans="1:26" ht="12.75" customHeight="1" x14ac:dyDescent="0.2">
      <c r="A52" s="8"/>
      <c r="B52" s="27"/>
      <c r="C52" s="28"/>
      <c r="D52" s="28"/>
      <c r="E52" s="28"/>
      <c r="F52" s="28"/>
      <c r="G52" s="8"/>
      <c r="H52" s="8"/>
      <c r="I52" s="8"/>
      <c r="J52" s="8"/>
      <c r="K52" s="8"/>
      <c r="L52" s="8"/>
      <c r="M52" s="8"/>
      <c r="N52" s="8"/>
      <c r="O52" s="8"/>
      <c r="P52" s="8"/>
      <c r="Q52" s="8"/>
      <c r="R52" s="8"/>
      <c r="S52" s="8"/>
      <c r="T52" s="8"/>
      <c r="U52" s="8"/>
      <c r="V52" s="8"/>
      <c r="W52" s="8"/>
      <c r="X52" s="8"/>
      <c r="Y52" s="8"/>
      <c r="Z52" s="8"/>
    </row>
    <row r="53" spans="1:26" ht="12.75" customHeight="1" x14ac:dyDescent="0.2">
      <c r="A53" s="8"/>
      <c r="B53" s="27"/>
      <c r="C53" s="28"/>
      <c r="D53" s="28"/>
      <c r="E53" s="28"/>
      <c r="F53" s="28"/>
      <c r="G53" s="8"/>
      <c r="H53" s="8"/>
      <c r="I53" s="8"/>
      <c r="J53" s="8"/>
      <c r="K53" s="8"/>
      <c r="L53" s="8"/>
      <c r="M53" s="8"/>
      <c r="N53" s="8"/>
      <c r="O53" s="8"/>
      <c r="P53" s="8"/>
      <c r="Q53" s="8"/>
      <c r="R53" s="8"/>
      <c r="S53" s="8"/>
      <c r="T53" s="8"/>
      <c r="U53" s="8"/>
      <c r="V53" s="8"/>
      <c r="W53" s="8"/>
      <c r="X53" s="8"/>
      <c r="Y53" s="8"/>
      <c r="Z53" s="8"/>
    </row>
    <row r="54" spans="1:26" ht="12.75" customHeight="1" x14ac:dyDescent="0.2">
      <c r="A54" s="8"/>
      <c r="B54" s="27"/>
      <c r="C54" s="28"/>
      <c r="D54" s="28"/>
      <c r="E54" s="28"/>
      <c r="F54" s="28"/>
      <c r="G54" s="8"/>
      <c r="H54" s="8"/>
      <c r="I54" s="8"/>
      <c r="J54" s="8"/>
      <c r="K54" s="8"/>
      <c r="L54" s="8"/>
      <c r="M54" s="8"/>
      <c r="N54" s="8"/>
      <c r="O54" s="8"/>
      <c r="P54" s="8"/>
      <c r="Q54" s="8"/>
      <c r="R54" s="8"/>
      <c r="S54" s="8"/>
      <c r="T54" s="8"/>
      <c r="U54" s="8"/>
      <c r="V54" s="8"/>
      <c r="W54" s="8"/>
      <c r="X54" s="8"/>
      <c r="Y54" s="8"/>
      <c r="Z54" s="8"/>
    </row>
    <row r="55" spans="1:26" ht="12.75" customHeight="1" x14ac:dyDescent="0.2">
      <c r="A55" s="8"/>
      <c r="B55" s="27"/>
      <c r="C55" s="28"/>
      <c r="D55" s="28"/>
      <c r="E55" s="28"/>
      <c r="F55" s="28"/>
      <c r="G55" s="8"/>
      <c r="H55" s="8"/>
      <c r="I55" s="8"/>
      <c r="J55" s="8"/>
      <c r="K55" s="8"/>
      <c r="L55" s="8"/>
      <c r="M55" s="8"/>
      <c r="N55" s="8"/>
      <c r="O55" s="8"/>
      <c r="P55" s="8"/>
      <c r="Q55" s="8"/>
      <c r="R55" s="8"/>
      <c r="S55" s="8"/>
      <c r="T55" s="8"/>
      <c r="U55" s="8"/>
      <c r="V55" s="8"/>
      <c r="W55" s="8"/>
      <c r="X55" s="8"/>
      <c r="Y55" s="8"/>
      <c r="Z55" s="8"/>
    </row>
    <row r="56" spans="1:26" ht="12.75" customHeight="1" x14ac:dyDescent="0.2">
      <c r="A56" s="8"/>
      <c r="B56" s="27"/>
      <c r="C56" s="28"/>
      <c r="D56" s="28"/>
      <c r="E56" s="28"/>
      <c r="F56" s="28"/>
      <c r="G56" s="8"/>
      <c r="H56" s="8"/>
      <c r="I56" s="8"/>
      <c r="J56" s="8"/>
      <c r="K56" s="8"/>
      <c r="L56" s="8"/>
      <c r="M56" s="8"/>
      <c r="N56" s="8"/>
      <c r="O56" s="8"/>
      <c r="P56" s="8"/>
      <c r="Q56" s="8"/>
      <c r="R56" s="8"/>
      <c r="S56" s="8"/>
      <c r="T56" s="8"/>
      <c r="U56" s="8"/>
      <c r="V56" s="8"/>
      <c r="W56" s="8"/>
      <c r="X56" s="8"/>
      <c r="Y56" s="8"/>
      <c r="Z56" s="8"/>
    </row>
    <row r="57" spans="1:26" ht="12.75" customHeight="1" x14ac:dyDescent="0.2">
      <c r="A57" s="8"/>
      <c r="B57" s="27"/>
      <c r="C57" s="28"/>
      <c r="D57" s="28"/>
      <c r="E57" s="28"/>
      <c r="F57" s="28"/>
      <c r="G57" s="8"/>
      <c r="H57" s="8"/>
      <c r="I57" s="8"/>
      <c r="J57" s="8"/>
      <c r="K57" s="8"/>
      <c r="L57" s="8"/>
      <c r="M57" s="8"/>
      <c r="N57" s="8"/>
      <c r="O57" s="8"/>
      <c r="P57" s="8"/>
      <c r="Q57" s="8"/>
      <c r="R57" s="8"/>
      <c r="S57" s="8"/>
      <c r="T57" s="8"/>
      <c r="U57" s="8"/>
      <c r="V57" s="8"/>
      <c r="W57" s="8"/>
      <c r="X57" s="8"/>
      <c r="Y57" s="8"/>
      <c r="Z57" s="8"/>
    </row>
    <row r="58" spans="1:26" ht="12.75" customHeight="1" x14ac:dyDescent="0.2">
      <c r="A58" s="8"/>
      <c r="B58" s="27"/>
      <c r="C58" s="28"/>
      <c r="D58" s="28"/>
      <c r="E58" s="28"/>
      <c r="F58" s="28"/>
      <c r="G58" s="8"/>
      <c r="H58" s="8"/>
      <c r="I58" s="8"/>
      <c r="J58" s="8"/>
      <c r="K58" s="8"/>
      <c r="L58" s="8"/>
      <c r="M58" s="8"/>
      <c r="N58" s="8"/>
      <c r="O58" s="8"/>
      <c r="P58" s="8"/>
      <c r="Q58" s="8"/>
      <c r="R58" s="8"/>
      <c r="S58" s="8"/>
      <c r="T58" s="8"/>
      <c r="U58" s="8"/>
      <c r="V58" s="8"/>
      <c r="W58" s="8"/>
      <c r="X58" s="8"/>
      <c r="Y58" s="8"/>
      <c r="Z58" s="8"/>
    </row>
    <row r="59" spans="1:26" ht="12.75" customHeight="1" x14ac:dyDescent="0.2">
      <c r="A59" s="8"/>
      <c r="B59" s="27"/>
      <c r="C59" s="28"/>
      <c r="D59" s="28"/>
      <c r="E59" s="28"/>
      <c r="F59" s="28"/>
      <c r="G59" s="8"/>
      <c r="H59" s="8"/>
      <c r="I59" s="8"/>
      <c r="J59" s="8"/>
      <c r="K59" s="8"/>
      <c r="L59" s="8"/>
      <c r="M59" s="8"/>
      <c r="N59" s="8"/>
      <c r="O59" s="8"/>
      <c r="P59" s="8"/>
      <c r="Q59" s="8"/>
      <c r="R59" s="8"/>
      <c r="S59" s="8"/>
      <c r="T59" s="8"/>
      <c r="U59" s="8"/>
      <c r="V59" s="8"/>
      <c r="W59" s="8"/>
      <c r="X59" s="8"/>
      <c r="Y59" s="8"/>
      <c r="Z59" s="8"/>
    </row>
    <row r="60" spans="1:26" ht="12.75" customHeight="1" x14ac:dyDescent="0.2">
      <c r="A60" s="8"/>
      <c r="B60" s="27"/>
      <c r="C60" s="28"/>
      <c r="D60" s="28"/>
      <c r="E60" s="28"/>
      <c r="F60" s="28"/>
      <c r="G60" s="8"/>
      <c r="H60" s="8"/>
      <c r="I60" s="8"/>
      <c r="J60" s="8"/>
      <c r="K60" s="8"/>
      <c r="L60" s="8"/>
      <c r="M60" s="8"/>
      <c r="N60" s="8"/>
      <c r="O60" s="8"/>
      <c r="P60" s="8"/>
      <c r="Q60" s="8"/>
      <c r="R60" s="8"/>
      <c r="S60" s="8"/>
      <c r="T60" s="8"/>
      <c r="U60" s="8"/>
      <c r="V60" s="8"/>
      <c r="W60" s="8"/>
      <c r="X60" s="8"/>
      <c r="Y60" s="8"/>
      <c r="Z60" s="8"/>
    </row>
    <row r="61" spans="1:26" ht="12.75" customHeight="1" x14ac:dyDescent="0.2">
      <c r="A61" s="8"/>
      <c r="B61" s="27"/>
      <c r="C61" s="28"/>
      <c r="D61" s="28"/>
      <c r="E61" s="28"/>
      <c r="F61" s="28"/>
      <c r="G61" s="8"/>
      <c r="H61" s="8"/>
      <c r="I61" s="8"/>
      <c r="J61" s="8"/>
      <c r="K61" s="8"/>
      <c r="L61" s="8"/>
      <c r="M61" s="8"/>
      <c r="N61" s="8"/>
      <c r="O61" s="8"/>
      <c r="P61" s="8"/>
      <c r="Q61" s="8"/>
      <c r="R61" s="8"/>
      <c r="S61" s="8"/>
      <c r="T61" s="8"/>
      <c r="U61" s="8"/>
      <c r="V61" s="8"/>
      <c r="W61" s="8"/>
      <c r="X61" s="8"/>
      <c r="Y61" s="8"/>
      <c r="Z61" s="8"/>
    </row>
    <row r="62" spans="1:26" ht="12.75" customHeight="1" x14ac:dyDescent="0.2">
      <c r="A62" s="8"/>
      <c r="B62" s="27"/>
      <c r="C62" s="28"/>
      <c r="D62" s="28"/>
      <c r="E62" s="28"/>
      <c r="F62" s="28"/>
      <c r="G62" s="8"/>
      <c r="H62" s="8"/>
      <c r="I62" s="8"/>
      <c r="J62" s="8"/>
      <c r="K62" s="8"/>
      <c r="L62" s="8"/>
      <c r="M62" s="8"/>
      <c r="N62" s="8"/>
      <c r="O62" s="8"/>
      <c r="P62" s="8"/>
      <c r="Q62" s="8"/>
      <c r="R62" s="8"/>
      <c r="S62" s="8"/>
      <c r="T62" s="8"/>
      <c r="U62" s="8"/>
      <c r="V62" s="8"/>
      <c r="W62" s="8"/>
      <c r="X62" s="8"/>
      <c r="Y62" s="8"/>
      <c r="Z62" s="8"/>
    </row>
    <row r="63" spans="1:26" ht="12.75" customHeight="1" x14ac:dyDescent="0.2">
      <c r="A63" s="8"/>
      <c r="B63" s="27"/>
      <c r="C63" s="28"/>
      <c r="D63" s="28"/>
      <c r="E63" s="28"/>
      <c r="F63" s="28"/>
      <c r="G63" s="8"/>
      <c r="H63" s="8"/>
      <c r="I63" s="8"/>
      <c r="J63" s="8"/>
      <c r="K63" s="8"/>
      <c r="L63" s="8"/>
      <c r="M63" s="8"/>
      <c r="N63" s="8"/>
      <c r="O63" s="8"/>
      <c r="P63" s="8"/>
      <c r="Q63" s="8"/>
      <c r="R63" s="8"/>
      <c r="S63" s="8"/>
      <c r="T63" s="8"/>
      <c r="U63" s="8"/>
      <c r="V63" s="8"/>
      <c r="W63" s="8"/>
      <c r="X63" s="8"/>
      <c r="Y63" s="8"/>
      <c r="Z63" s="8"/>
    </row>
    <row r="64" spans="1:26" ht="12.75" customHeight="1" x14ac:dyDescent="0.2">
      <c r="A64" s="8"/>
      <c r="B64" s="27"/>
      <c r="C64" s="28"/>
      <c r="D64" s="28"/>
      <c r="E64" s="28"/>
      <c r="F64" s="28"/>
      <c r="G64" s="8"/>
      <c r="H64" s="8"/>
      <c r="I64" s="8"/>
      <c r="J64" s="8"/>
      <c r="K64" s="8"/>
      <c r="L64" s="8"/>
      <c r="M64" s="8"/>
      <c r="N64" s="8"/>
      <c r="O64" s="8"/>
      <c r="P64" s="8"/>
      <c r="Q64" s="8"/>
      <c r="R64" s="8"/>
      <c r="S64" s="8"/>
      <c r="T64" s="8"/>
      <c r="U64" s="8"/>
      <c r="V64" s="8"/>
      <c r="W64" s="8"/>
      <c r="X64" s="8"/>
      <c r="Y64" s="8"/>
      <c r="Z64" s="8"/>
    </row>
    <row r="65" spans="1:26" ht="12.75" customHeight="1" x14ac:dyDescent="0.2">
      <c r="A65" s="8"/>
      <c r="B65" s="27"/>
      <c r="C65" s="28"/>
      <c r="D65" s="28"/>
      <c r="E65" s="28"/>
      <c r="F65" s="28"/>
      <c r="G65" s="8"/>
      <c r="H65" s="8"/>
      <c r="I65" s="8"/>
      <c r="J65" s="8"/>
      <c r="K65" s="8"/>
      <c r="L65" s="8"/>
      <c r="M65" s="8"/>
      <c r="N65" s="8"/>
      <c r="O65" s="8"/>
      <c r="P65" s="8"/>
      <c r="Q65" s="8"/>
      <c r="R65" s="8"/>
      <c r="S65" s="8"/>
      <c r="T65" s="8"/>
      <c r="U65" s="8"/>
      <c r="V65" s="8"/>
      <c r="W65" s="8"/>
      <c r="X65" s="8"/>
      <c r="Y65" s="8"/>
      <c r="Z65" s="8"/>
    </row>
    <row r="66" spans="1:26" ht="12.75" customHeight="1" x14ac:dyDescent="0.2">
      <c r="A66" s="8"/>
      <c r="B66" s="27"/>
      <c r="C66" s="28"/>
      <c r="D66" s="28"/>
      <c r="E66" s="28"/>
      <c r="F66" s="28"/>
      <c r="G66" s="8"/>
      <c r="H66" s="8"/>
      <c r="I66" s="8"/>
      <c r="J66" s="8"/>
      <c r="K66" s="8"/>
      <c r="L66" s="8"/>
      <c r="M66" s="8"/>
      <c r="N66" s="8"/>
      <c r="O66" s="8"/>
      <c r="P66" s="8"/>
      <c r="Q66" s="8"/>
      <c r="R66" s="8"/>
      <c r="S66" s="8"/>
      <c r="T66" s="8"/>
      <c r="U66" s="8"/>
      <c r="V66" s="8"/>
      <c r="W66" s="8"/>
      <c r="X66" s="8"/>
      <c r="Y66" s="8"/>
      <c r="Z66" s="8"/>
    </row>
    <row r="67" spans="1:26" ht="12.75" customHeight="1" x14ac:dyDescent="0.2">
      <c r="A67" s="8"/>
      <c r="B67" s="27"/>
      <c r="C67" s="28"/>
      <c r="D67" s="28"/>
      <c r="E67" s="28"/>
      <c r="F67" s="28"/>
      <c r="G67" s="8"/>
      <c r="H67" s="8"/>
      <c r="I67" s="8"/>
      <c r="J67" s="8"/>
      <c r="K67" s="8"/>
      <c r="L67" s="8"/>
      <c r="M67" s="8"/>
      <c r="N67" s="8"/>
      <c r="O67" s="8"/>
      <c r="P67" s="8"/>
      <c r="Q67" s="8"/>
      <c r="R67" s="8"/>
      <c r="S67" s="8"/>
      <c r="T67" s="8"/>
      <c r="U67" s="8"/>
      <c r="V67" s="8"/>
      <c r="W67" s="8"/>
      <c r="X67" s="8"/>
      <c r="Y67" s="8"/>
      <c r="Z67" s="8"/>
    </row>
    <row r="68" spans="1:26" ht="12.75" customHeight="1" x14ac:dyDescent="0.2">
      <c r="A68" s="8"/>
      <c r="B68" s="27"/>
      <c r="C68" s="28"/>
      <c r="D68" s="28"/>
      <c r="E68" s="28"/>
      <c r="F68" s="28"/>
      <c r="G68" s="8"/>
      <c r="H68" s="8"/>
      <c r="I68" s="8"/>
      <c r="J68" s="8"/>
      <c r="K68" s="8"/>
      <c r="L68" s="8"/>
      <c r="M68" s="8"/>
      <c r="N68" s="8"/>
      <c r="O68" s="8"/>
      <c r="P68" s="8"/>
      <c r="Q68" s="8"/>
      <c r="R68" s="8"/>
      <c r="S68" s="8"/>
      <c r="T68" s="8"/>
      <c r="U68" s="8"/>
      <c r="V68" s="8"/>
      <c r="W68" s="8"/>
      <c r="X68" s="8"/>
      <c r="Y68" s="8"/>
      <c r="Z68" s="8"/>
    </row>
    <row r="69" spans="1:26" ht="12.75" customHeight="1" x14ac:dyDescent="0.2">
      <c r="A69" s="8"/>
      <c r="B69" s="27"/>
      <c r="C69" s="28"/>
      <c r="D69" s="28"/>
      <c r="E69" s="28"/>
      <c r="F69" s="28"/>
      <c r="G69" s="8"/>
      <c r="H69" s="8"/>
      <c r="I69" s="8"/>
      <c r="J69" s="8"/>
      <c r="K69" s="8"/>
      <c r="L69" s="8"/>
      <c r="M69" s="8"/>
      <c r="N69" s="8"/>
      <c r="O69" s="8"/>
      <c r="P69" s="8"/>
      <c r="Q69" s="8"/>
      <c r="R69" s="8"/>
      <c r="S69" s="8"/>
      <c r="T69" s="8"/>
      <c r="U69" s="8"/>
      <c r="V69" s="8"/>
      <c r="W69" s="8"/>
      <c r="X69" s="8"/>
      <c r="Y69" s="8"/>
      <c r="Z69" s="8"/>
    </row>
    <row r="70" spans="1:26" ht="12.75" customHeight="1" x14ac:dyDescent="0.2">
      <c r="A70" s="8"/>
      <c r="B70" s="27"/>
      <c r="C70" s="28"/>
      <c r="D70" s="28"/>
      <c r="E70" s="28"/>
      <c r="F70" s="28"/>
      <c r="G70" s="8"/>
      <c r="H70" s="8"/>
      <c r="I70" s="8"/>
      <c r="J70" s="8"/>
      <c r="K70" s="8"/>
      <c r="L70" s="8"/>
      <c r="M70" s="8"/>
      <c r="N70" s="8"/>
      <c r="O70" s="8"/>
      <c r="P70" s="8"/>
      <c r="Q70" s="8"/>
      <c r="R70" s="8"/>
      <c r="S70" s="8"/>
      <c r="T70" s="8"/>
      <c r="U70" s="8"/>
      <c r="V70" s="8"/>
      <c r="W70" s="8"/>
      <c r="X70" s="8"/>
      <c r="Y70" s="8"/>
      <c r="Z70" s="8"/>
    </row>
    <row r="71" spans="1:26" ht="12.75" customHeight="1" x14ac:dyDescent="0.2">
      <c r="A71" s="8"/>
      <c r="B71" s="27"/>
      <c r="C71" s="28"/>
      <c r="D71" s="28"/>
      <c r="E71" s="28"/>
      <c r="F71" s="28"/>
      <c r="G71" s="8"/>
      <c r="H71" s="8"/>
      <c r="I71" s="8"/>
      <c r="J71" s="8"/>
      <c r="K71" s="8"/>
      <c r="L71" s="8"/>
      <c r="M71" s="8"/>
      <c r="N71" s="8"/>
      <c r="O71" s="8"/>
      <c r="P71" s="8"/>
      <c r="Q71" s="8"/>
      <c r="R71" s="8"/>
      <c r="S71" s="8"/>
      <c r="T71" s="8"/>
      <c r="U71" s="8"/>
      <c r="V71" s="8"/>
      <c r="W71" s="8"/>
      <c r="X71" s="8"/>
      <c r="Y71" s="8"/>
      <c r="Z71" s="8"/>
    </row>
    <row r="72" spans="1:26" ht="12.75" customHeight="1" x14ac:dyDescent="0.2">
      <c r="A72" s="8"/>
      <c r="B72" s="27"/>
      <c r="C72" s="28"/>
      <c r="D72" s="28"/>
      <c r="E72" s="28"/>
      <c r="F72" s="28"/>
      <c r="G72" s="8"/>
      <c r="H72" s="8"/>
      <c r="I72" s="8"/>
      <c r="J72" s="8"/>
      <c r="K72" s="8"/>
      <c r="L72" s="8"/>
      <c r="M72" s="8"/>
      <c r="N72" s="8"/>
      <c r="O72" s="8"/>
      <c r="P72" s="8"/>
      <c r="Q72" s="8"/>
      <c r="R72" s="8"/>
      <c r="S72" s="8"/>
      <c r="T72" s="8"/>
      <c r="U72" s="8"/>
      <c r="V72" s="8"/>
      <c r="W72" s="8"/>
      <c r="X72" s="8"/>
      <c r="Y72" s="8"/>
      <c r="Z72" s="8"/>
    </row>
    <row r="73" spans="1:26" ht="12.75" customHeight="1" x14ac:dyDescent="0.2">
      <c r="A73" s="8"/>
      <c r="B73" s="27"/>
      <c r="C73" s="28"/>
      <c r="D73" s="28"/>
      <c r="E73" s="28"/>
      <c r="F73" s="28"/>
      <c r="G73" s="8"/>
      <c r="H73" s="8"/>
      <c r="I73" s="8"/>
      <c r="J73" s="8"/>
      <c r="K73" s="8"/>
      <c r="L73" s="8"/>
      <c r="M73" s="8"/>
      <c r="N73" s="8"/>
      <c r="O73" s="8"/>
      <c r="P73" s="8"/>
      <c r="Q73" s="8"/>
      <c r="R73" s="8"/>
      <c r="S73" s="8"/>
      <c r="T73" s="8"/>
      <c r="U73" s="8"/>
      <c r="V73" s="8"/>
      <c r="W73" s="8"/>
      <c r="X73" s="8"/>
      <c r="Y73" s="8"/>
      <c r="Z73" s="8"/>
    </row>
    <row r="74" spans="1:26" ht="12.75" customHeight="1" x14ac:dyDescent="0.2">
      <c r="A74" s="8"/>
      <c r="B74" s="27"/>
      <c r="C74" s="28"/>
      <c r="D74" s="28"/>
      <c r="E74" s="28"/>
      <c r="F74" s="28"/>
      <c r="G74" s="8"/>
      <c r="H74" s="8"/>
      <c r="I74" s="8"/>
      <c r="J74" s="8"/>
      <c r="K74" s="8"/>
      <c r="L74" s="8"/>
      <c r="M74" s="8"/>
      <c r="N74" s="8"/>
      <c r="O74" s="8"/>
      <c r="P74" s="8"/>
      <c r="Q74" s="8"/>
      <c r="R74" s="8"/>
      <c r="S74" s="8"/>
      <c r="T74" s="8"/>
      <c r="U74" s="8"/>
      <c r="V74" s="8"/>
      <c r="W74" s="8"/>
      <c r="X74" s="8"/>
      <c r="Y74" s="8"/>
      <c r="Z74" s="8"/>
    </row>
    <row r="75" spans="1:26" ht="12.75" customHeight="1" x14ac:dyDescent="0.2">
      <c r="A75" s="8"/>
      <c r="B75" s="27"/>
      <c r="C75" s="28"/>
      <c r="D75" s="28"/>
      <c r="E75" s="28"/>
      <c r="F75" s="28"/>
      <c r="G75" s="8"/>
      <c r="H75" s="8"/>
      <c r="I75" s="8"/>
      <c r="J75" s="8"/>
      <c r="K75" s="8"/>
      <c r="L75" s="8"/>
      <c r="M75" s="8"/>
      <c r="N75" s="8"/>
      <c r="O75" s="8"/>
      <c r="P75" s="8"/>
      <c r="Q75" s="8"/>
      <c r="R75" s="8"/>
      <c r="S75" s="8"/>
      <c r="T75" s="8"/>
      <c r="U75" s="8"/>
      <c r="V75" s="8"/>
      <c r="W75" s="8"/>
      <c r="X75" s="8"/>
      <c r="Y75" s="8"/>
      <c r="Z75" s="8"/>
    </row>
    <row r="76" spans="1:26" ht="12.75" customHeight="1" x14ac:dyDescent="0.2">
      <c r="A76" s="8"/>
      <c r="B76" s="27"/>
      <c r="C76" s="28"/>
      <c r="D76" s="28"/>
      <c r="E76" s="28"/>
      <c r="F76" s="28"/>
      <c r="G76" s="8"/>
      <c r="H76" s="8"/>
      <c r="I76" s="8"/>
      <c r="J76" s="8"/>
      <c r="K76" s="8"/>
      <c r="L76" s="8"/>
      <c r="M76" s="8"/>
      <c r="N76" s="8"/>
      <c r="O76" s="8"/>
      <c r="P76" s="8"/>
      <c r="Q76" s="8"/>
      <c r="R76" s="8"/>
      <c r="S76" s="8"/>
      <c r="T76" s="8"/>
      <c r="U76" s="8"/>
      <c r="V76" s="8"/>
      <c r="W76" s="8"/>
      <c r="X76" s="8"/>
      <c r="Y76" s="8"/>
      <c r="Z76" s="8"/>
    </row>
    <row r="77" spans="1:26" ht="12.75" customHeight="1" x14ac:dyDescent="0.2">
      <c r="A77" s="8"/>
      <c r="B77" s="27"/>
      <c r="C77" s="28"/>
      <c r="D77" s="28"/>
      <c r="E77" s="28"/>
      <c r="F77" s="28"/>
      <c r="G77" s="8"/>
      <c r="H77" s="8"/>
      <c r="I77" s="8"/>
      <c r="J77" s="8"/>
      <c r="K77" s="8"/>
      <c r="L77" s="8"/>
      <c r="M77" s="8"/>
      <c r="N77" s="8"/>
      <c r="O77" s="8"/>
      <c r="P77" s="8"/>
      <c r="Q77" s="8"/>
      <c r="R77" s="8"/>
      <c r="S77" s="8"/>
      <c r="T77" s="8"/>
      <c r="U77" s="8"/>
      <c r="V77" s="8"/>
      <c r="W77" s="8"/>
      <c r="X77" s="8"/>
      <c r="Y77" s="8"/>
      <c r="Z77" s="8"/>
    </row>
    <row r="78" spans="1:26" ht="12.75" customHeight="1" x14ac:dyDescent="0.2">
      <c r="A78" s="8"/>
      <c r="B78" s="27"/>
      <c r="C78" s="28"/>
      <c r="D78" s="28"/>
      <c r="E78" s="28"/>
      <c r="F78" s="28"/>
      <c r="G78" s="8"/>
      <c r="H78" s="8"/>
      <c r="I78" s="8"/>
      <c r="J78" s="8"/>
      <c r="K78" s="8"/>
      <c r="L78" s="8"/>
      <c r="M78" s="8"/>
      <c r="N78" s="8"/>
      <c r="O78" s="8"/>
      <c r="P78" s="8"/>
      <c r="Q78" s="8"/>
      <c r="R78" s="8"/>
      <c r="S78" s="8"/>
      <c r="T78" s="8"/>
      <c r="U78" s="8"/>
      <c r="V78" s="8"/>
      <c r="W78" s="8"/>
      <c r="X78" s="8"/>
      <c r="Y78" s="8"/>
      <c r="Z78" s="8"/>
    </row>
    <row r="79" spans="1:26" ht="12.75" customHeight="1" x14ac:dyDescent="0.2">
      <c r="A79" s="8"/>
      <c r="B79" s="27"/>
      <c r="C79" s="28"/>
      <c r="D79" s="28"/>
      <c r="E79" s="28"/>
      <c r="F79" s="28"/>
      <c r="G79" s="8"/>
      <c r="H79" s="8"/>
      <c r="I79" s="8"/>
      <c r="J79" s="8"/>
      <c r="K79" s="8"/>
      <c r="L79" s="8"/>
      <c r="M79" s="8"/>
      <c r="N79" s="8"/>
      <c r="O79" s="8"/>
      <c r="P79" s="8"/>
      <c r="Q79" s="8"/>
      <c r="R79" s="8"/>
      <c r="S79" s="8"/>
      <c r="T79" s="8"/>
      <c r="U79" s="8"/>
      <c r="V79" s="8"/>
      <c r="W79" s="8"/>
      <c r="X79" s="8"/>
      <c r="Y79" s="8"/>
      <c r="Z79" s="8"/>
    </row>
    <row r="80" spans="1:26" ht="12.75" customHeight="1" x14ac:dyDescent="0.2">
      <c r="A80" s="8"/>
      <c r="B80" s="27"/>
      <c r="C80" s="28"/>
      <c r="D80" s="28"/>
      <c r="E80" s="28"/>
      <c r="F80" s="28"/>
      <c r="G80" s="8"/>
      <c r="H80" s="8"/>
      <c r="I80" s="8"/>
      <c r="J80" s="8"/>
      <c r="K80" s="8"/>
      <c r="L80" s="8"/>
      <c r="M80" s="8"/>
      <c r="N80" s="8"/>
      <c r="O80" s="8"/>
      <c r="P80" s="8"/>
      <c r="Q80" s="8"/>
      <c r="R80" s="8"/>
      <c r="S80" s="8"/>
      <c r="T80" s="8"/>
      <c r="U80" s="8"/>
      <c r="V80" s="8"/>
      <c r="W80" s="8"/>
      <c r="X80" s="8"/>
      <c r="Y80" s="8"/>
      <c r="Z80" s="8"/>
    </row>
    <row r="81" spans="1:26" ht="12.75" customHeight="1" x14ac:dyDescent="0.2">
      <c r="A81" s="8"/>
      <c r="B81" s="27"/>
      <c r="C81" s="28"/>
      <c r="D81" s="28"/>
      <c r="E81" s="28"/>
      <c r="F81" s="28"/>
      <c r="G81" s="8"/>
      <c r="H81" s="8"/>
      <c r="I81" s="8"/>
      <c r="J81" s="8"/>
      <c r="K81" s="8"/>
      <c r="L81" s="8"/>
      <c r="M81" s="8"/>
      <c r="N81" s="8"/>
      <c r="O81" s="8"/>
      <c r="P81" s="8"/>
      <c r="Q81" s="8"/>
      <c r="R81" s="8"/>
      <c r="S81" s="8"/>
      <c r="T81" s="8"/>
      <c r="U81" s="8"/>
      <c r="V81" s="8"/>
      <c r="W81" s="8"/>
      <c r="X81" s="8"/>
      <c r="Y81" s="8"/>
      <c r="Z81" s="8"/>
    </row>
    <row r="82" spans="1:26" ht="12.75" customHeight="1" x14ac:dyDescent="0.2">
      <c r="A82" s="8"/>
      <c r="B82" s="27"/>
      <c r="C82" s="28"/>
      <c r="D82" s="28"/>
      <c r="E82" s="28"/>
      <c r="F82" s="28"/>
      <c r="G82" s="8"/>
      <c r="H82" s="8"/>
      <c r="I82" s="8"/>
      <c r="J82" s="8"/>
      <c r="K82" s="8"/>
      <c r="L82" s="8"/>
      <c r="M82" s="8"/>
      <c r="N82" s="8"/>
      <c r="O82" s="8"/>
      <c r="P82" s="8"/>
      <c r="Q82" s="8"/>
      <c r="R82" s="8"/>
      <c r="S82" s="8"/>
      <c r="T82" s="8"/>
      <c r="U82" s="8"/>
      <c r="V82" s="8"/>
      <c r="W82" s="8"/>
      <c r="X82" s="8"/>
      <c r="Y82" s="8"/>
      <c r="Z82" s="8"/>
    </row>
    <row r="83" spans="1:26" ht="12.75" customHeight="1" x14ac:dyDescent="0.2">
      <c r="A83" s="8"/>
      <c r="B83" s="27"/>
      <c r="C83" s="28"/>
      <c r="D83" s="28"/>
      <c r="E83" s="28"/>
      <c r="F83" s="28"/>
      <c r="G83" s="8"/>
      <c r="H83" s="8"/>
      <c r="I83" s="8"/>
      <c r="J83" s="8"/>
      <c r="K83" s="8"/>
      <c r="L83" s="8"/>
      <c r="M83" s="8"/>
      <c r="N83" s="8"/>
      <c r="O83" s="8"/>
      <c r="P83" s="8"/>
      <c r="Q83" s="8"/>
      <c r="R83" s="8"/>
      <c r="S83" s="8"/>
      <c r="T83" s="8"/>
      <c r="U83" s="8"/>
      <c r="V83" s="8"/>
      <c r="W83" s="8"/>
      <c r="X83" s="8"/>
      <c r="Y83" s="8"/>
      <c r="Z83" s="8"/>
    </row>
    <row r="84" spans="1:26" ht="12.75" customHeight="1" x14ac:dyDescent="0.2">
      <c r="A84" s="8"/>
      <c r="B84" s="27"/>
      <c r="C84" s="28"/>
      <c r="D84" s="28"/>
      <c r="E84" s="28"/>
      <c r="F84" s="28"/>
      <c r="G84" s="8"/>
      <c r="H84" s="8"/>
      <c r="I84" s="8"/>
      <c r="J84" s="8"/>
      <c r="K84" s="8"/>
      <c r="L84" s="8"/>
      <c r="M84" s="8"/>
      <c r="N84" s="8"/>
      <c r="O84" s="8"/>
      <c r="P84" s="8"/>
      <c r="Q84" s="8"/>
      <c r="R84" s="8"/>
      <c r="S84" s="8"/>
      <c r="T84" s="8"/>
      <c r="U84" s="8"/>
      <c r="V84" s="8"/>
      <c r="W84" s="8"/>
      <c r="X84" s="8"/>
      <c r="Y84" s="8"/>
      <c r="Z84" s="8"/>
    </row>
    <row r="85" spans="1:26" ht="12.75" customHeight="1" x14ac:dyDescent="0.2">
      <c r="A85" s="8"/>
      <c r="B85" s="27"/>
      <c r="C85" s="28"/>
      <c r="D85" s="28"/>
      <c r="E85" s="28"/>
      <c r="F85" s="28"/>
      <c r="G85" s="8"/>
      <c r="H85" s="8"/>
      <c r="I85" s="8"/>
      <c r="J85" s="8"/>
      <c r="K85" s="8"/>
      <c r="L85" s="8"/>
      <c r="M85" s="8"/>
      <c r="N85" s="8"/>
      <c r="O85" s="8"/>
      <c r="P85" s="8"/>
      <c r="Q85" s="8"/>
      <c r="R85" s="8"/>
      <c r="S85" s="8"/>
      <c r="T85" s="8"/>
      <c r="U85" s="8"/>
      <c r="V85" s="8"/>
      <c r="W85" s="8"/>
      <c r="X85" s="8"/>
      <c r="Y85" s="8"/>
      <c r="Z85" s="8"/>
    </row>
    <row r="86" spans="1:26" ht="12.75" customHeight="1" x14ac:dyDescent="0.2">
      <c r="A86" s="8"/>
      <c r="B86" s="27"/>
      <c r="C86" s="28"/>
      <c r="D86" s="28"/>
      <c r="E86" s="28"/>
      <c r="F86" s="28"/>
      <c r="G86" s="8"/>
      <c r="H86" s="8"/>
      <c r="I86" s="8"/>
      <c r="J86" s="8"/>
      <c r="K86" s="8"/>
      <c r="L86" s="8"/>
      <c r="M86" s="8"/>
      <c r="N86" s="8"/>
      <c r="O86" s="8"/>
      <c r="P86" s="8"/>
      <c r="Q86" s="8"/>
      <c r="R86" s="8"/>
      <c r="S86" s="8"/>
      <c r="T86" s="8"/>
      <c r="U86" s="8"/>
      <c r="V86" s="8"/>
      <c r="W86" s="8"/>
      <c r="X86" s="8"/>
      <c r="Y86" s="8"/>
      <c r="Z86" s="8"/>
    </row>
    <row r="87" spans="1:26" ht="12.75" customHeight="1" x14ac:dyDescent="0.2">
      <c r="A87" s="8"/>
      <c r="B87" s="27"/>
      <c r="C87" s="28"/>
      <c r="D87" s="28"/>
      <c r="E87" s="28"/>
      <c r="F87" s="28"/>
      <c r="G87" s="8"/>
      <c r="H87" s="8"/>
      <c r="I87" s="8"/>
      <c r="J87" s="8"/>
      <c r="K87" s="8"/>
      <c r="L87" s="8"/>
      <c r="M87" s="8"/>
      <c r="N87" s="8"/>
      <c r="O87" s="8"/>
      <c r="P87" s="8"/>
      <c r="Q87" s="8"/>
      <c r="R87" s="8"/>
      <c r="S87" s="8"/>
      <c r="T87" s="8"/>
      <c r="U87" s="8"/>
      <c r="V87" s="8"/>
      <c r="W87" s="8"/>
      <c r="X87" s="8"/>
      <c r="Y87" s="8"/>
      <c r="Z87" s="8"/>
    </row>
    <row r="88" spans="1:26" ht="12.75" customHeight="1" x14ac:dyDescent="0.2">
      <c r="A88" s="8"/>
      <c r="B88" s="27"/>
      <c r="C88" s="28"/>
      <c r="D88" s="28"/>
      <c r="E88" s="28"/>
      <c r="F88" s="28"/>
      <c r="G88" s="8"/>
      <c r="H88" s="8"/>
      <c r="I88" s="8"/>
      <c r="J88" s="8"/>
      <c r="K88" s="8"/>
      <c r="L88" s="8"/>
      <c r="M88" s="8"/>
      <c r="N88" s="8"/>
      <c r="O88" s="8"/>
      <c r="P88" s="8"/>
      <c r="Q88" s="8"/>
      <c r="R88" s="8"/>
      <c r="S88" s="8"/>
      <c r="T88" s="8"/>
      <c r="U88" s="8"/>
      <c r="V88" s="8"/>
      <c r="W88" s="8"/>
      <c r="X88" s="8"/>
      <c r="Y88" s="8"/>
      <c r="Z88" s="8"/>
    </row>
    <row r="89" spans="1:26" ht="12.75" customHeight="1" x14ac:dyDescent="0.2">
      <c r="A89" s="8"/>
      <c r="B89" s="27"/>
      <c r="C89" s="28"/>
      <c r="D89" s="28"/>
      <c r="E89" s="28"/>
      <c r="F89" s="28"/>
      <c r="G89" s="8"/>
      <c r="H89" s="8"/>
      <c r="I89" s="8"/>
      <c r="J89" s="8"/>
      <c r="K89" s="8"/>
      <c r="L89" s="8"/>
      <c r="M89" s="8"/>
      <c r="N89" s="8"/>
      <c r="O89" s="8"/>
      <c r="P89" s="8"/>
      <c r="Q89" s="8"/>
      <c r="R89" s="8"/>
      <c r="S89" s="8"/>
      <c r="T89" s="8"/>
      <c r="U89" s="8"/>
      <c r="V89" s="8"/>
      <c r="W89" s="8"/>
      <c r="X89" s="8"/>
      <c r="Y89" s="8"/>
      <c r="Z89" s="8"/>
    </row>
    <row r="90" spans="1:26" ht="12.75" customHeight="1" x14ac:dyDescent="0.2">
      <c r="A90" s="8"/>
      <c r="B90" s="27"/>
      <c r="C90" s="28"/>
      <c r="D90" s="28"/>
      <c r="E90" s="28"/>
      <c r="F90" s="28"/>
      <c r="G90" s="8"/>
      <c r="H90" s="8"/>
      <c r="I90" s="8"/>
      <c r="J90" s="8"/>
      <c r="K90" s="8"/>
      <c r="L90" s="8"/>
      <c r="M90" s="8"/>
      <c r="N90" s="8"/>
      <c r="O90" s="8"/>
      <c r="P90" s="8"/>
      <c r="Q90" s="8"/>
      <c r="R90" s="8"/>
      <c r="S90" s="8"/>
      <c r="T90" s="8"/>
      <c r="U90" s="8"/>
      <c r="V90" s="8"/>
      <c r="W90" s="8"/>
      <c r="X90" s="8"/>
      <c r="Y90" s="8"/>
      <c r="Z90" s="8"/>
    </row>
    <row r="91" spans="1:26" ht="12.75" customHeight="1" x14ac:dyDescent="0.2">
      <c r="A91" s="8"/>
      <c r="B91" s="27"/>
      <c r="C91" s="28"/>
      <c r="D91" s="28"/>
      <c r="E91" s="28"/>
      <c r="F91" s="28"/>
      <c r="G91" s="8"/>
      <c r="H91" s="8"/>
      <c r="I91" s="8"/>
      <c r="J91" s="8"/>
      <c r="K91" s="8"/>
      <c r="L91" s="8"/>
      <c r="M91" s="8"/>
      <c r="N91" s="8"/>
      <c r="O91" s="8"/>
      <c r="P91" s="8"/>
      <c r="Q91" s="8"/>
      <c r="R91" s="8"/>
      <c r="S91" s="8"/>
      <c r="T91" s="8"/>
      <c r="U91" s="8"/>
      <c r="V91" s="8"/>
      <c r="W91" s="8"/>
      <c r="X91" s="8"/>
      <c r="Y91" s="8"/>
      <c r="Z91" s="8"/>
    </row>
    <row r="92" spans="1:26" ht="12.75" customHeight="1" x14ac:dyDescent="0.2">
      <c r="A92" s="8"/>
      <c r="B92" s="27"/>
      <c r="C92" s="28"/>
      <c r="D92" s="28"/>
      <c r="E92" s="28"/>
      <c r="F92" s="28"/>
      <c r="G92" s="8"/>
      <c r="H92" s="8"/>
      <c r="I92" s="8"/>
      <c r="J92" s="8"/>
      <c r="K92" s="8"/>
      <c r="L92" s="8"/>
      <c r="M92" s="8"/>
      <c r="N92" s="8"/>
      <c r="O92" s="8"/>
      <c r="P92" s="8"/>
      <c r="Q92" s="8"/>
      <c r="R92" s="8"/>
      <c r="S92" s="8"/>
      <c r="T92" s="8"/>
      <c r="U92" s="8"/>
      <c r="V92" s="8"/>
      <c r="W92" s="8"/>
      <c r="X92" s="8"/>
      <c r="Y92" s="8"/>
      <c r="Z92" s="8"/>
    </row>
    <row r="93" spans="1:26" ht="12.75" customHeight="1" x14ac:dyDescent="0.2">
      <c r="A93" s="8"/>
      <c r="B93" s="27"/>
      <c r="C93" s="28"/>
      <c r="D93" s="28"/>
      <c r="E93" s="28"/>
      <c r="F93" s="28"/>
      <c r="G93" s="8"/>
      <c r="H93" s="8"/>
      <c r="I93" s="8"/>
      <c r="J93" s="8"/>
      <c r="K93" s="8"/>
      <c r="L93" s="8"/>
      <c r="M93" s="8"/>
      <c r="N93" s="8"/>
      <c r="O93" s="8"/>
      <c r="P93" s="8"/>
      <c r="Q93" s="8"/>
      <c r="R93" s="8"/>
      <c r="S93" s="8"/>
      <c r="T93" s="8"/>
      <c r="U93" s="8"/>
      <c r="V93" s="8"/>
      <c r="W93" s="8"/>
      <c r="X93" s="8"/>
      <c r="Y93" s="8"/>
      <c r="Z93" s="8"/>
    </row>
    <row r="94" spans="1:26" ht="12.75" customHeight="1" x14ac:dyDescent="0.2">
      <c r="A94" s="8"/>
      <c r="B94" s="27"/>
      <c r="C94" s="28"/>
      <c r="D94" s="28"/>
      <c r="E94" s="28"/>
      <c r="F94" s="28"/>
      <c r="G94" s="8"/>
      <c r="H94" s="8"/>
      <c r="I94" s="8"/>
      <c r="J94" s="8"/>
      <c r="K94" s="8"/>
      <c r="L94" s="8"/>
      <c r="M94" s="8"/>
      <c r="N94" s="8"/>
      <c r="O94" s="8"/>
      <c r="P94" s="8"/>
      <c r="Q94" s="8"/>
      <c r="R94" s="8"/>
      <c r="S94" s="8"/>
      <c r="T94" s="8"/>
      <c r="U94" s="8"/>
      <c r="V94" s="8"/>
      <c r="W94" s="8"/>
      <c r="X94" s="8"/>
      <c r="Y94" s="8"/>
      <c r="Z94" s="8"/>
    </row>
    <row r="95" spans="1:26" ht="12.75" customHeight="1" x14ac:dyDescent="0.2">
      <c r="A95" s="8"/>
      <c r="B95" s="27"/>
      <c r="C95" s="28"/>
      <c r="D95" s="28"/>
      <c r="E95" s="28"/>
      <c r="F95" s="28"/>
      <c r="G95" s="8"/>
      <c r="H95" s="8"/>
      <c r="I95" s="8"/>
      <c r="J95" s="8"/>
      <c r="K95" s="8"/>
      <c r="L95" s="8"/>
      <c r="M95" s="8"/>
      <c r="N95" s="8"/>
      <c r="O95" s="8"/>
      <c r="P95" s="8"/>
      <c r="Q95" s="8"/>
      <c r="R95" s="8"/>
      <c r="S95" s="8"/>
      <c r="T95" s="8"/>
      <c r="U95" s="8"/>
      <c r="V95" s="8"/>
      <c r="W95" s="8"/>
      <c r="X95" s="8"/>
      <c r="Y95" s="8"/>
      <c r="Z95" s="8"/>
    </row>
    <row r="96" spans="1:26" ht="12.75" customHeight="1" x14ac:dyDescent="0.2">
      <c r="A96" s="8"/>
      <c r="B96" s="27"/>
      <c r="C96" s="28"/>
      <c r="D96" s="28"/>
      <c r="E96" s="28"/>
      <c r="F96" s="28"/>
      <c r="G96" s="8"/>
      <c r="H96" s="8"/>
      <c r="I96" s="8"/>
      <c r="J96" s="8"/>
      <c r="K96" s="8"/>
      <c r="L96" s="8"/>
      <c r="M96" s="8"/>
      <c r="N96" s="8"/>
      <c r="O96" s="8"/>
      <c r="P96" s="8"/>
      <c r="Q96" s="8"/>
      <c r="R96" s="8"/>
      <c r="S96" s="8"/>
      <c r="T96" s="8"/>
      <c r="U96" s="8"/>
      <c r="V96" s="8"/>
      <c r="W96" s="8"/>
      <c r="X96" s="8"/>
      <c r="Y96" s="8"/>
      <c r="Z96" s="8"/>
    </row>
    <row r="97" spans="1:26" ht="12.75" customHeight="1" x14ac:dyDescent="0.2">
      <c r="A97" s="8"/>
      <c r="B97" s="27"/>
      <c r="C97" s="28"/>
      <c r="D97" s="28"/>
      <c r="E97" s="28"/>
      <c r="F97" s="28"/>
      <c r="G97" s="8"/>
      <c r="H97" s="8"/>
      <c r="I97" s="8"/>
      <c r="J97" s="8"/>
      <c r="K97" s="8"/>
      <c r="L97" s="8"/>
      <c r="M97" s="8"/>
      <c r="N97" s="8"/>
      <c r="O97" s="8"/>
      <c r="P97" s="8"/>
      <c r="Q97" s="8"/>
      <c r="R97" s="8"/>
      <c r="S97" s="8"/>
      <c r="T97" s="8"/>
      <c r="U97" s="8"/>
      <c r="V97" s="8"/>
      <c r="W97" s="8"/>
      <c r="X97" s="8"/>
      <c r="Y97" s="8"/>
      <c r="Z97" s="8"/>
    </row>
    <row r="98" spans="1:26" ht="12.75" customHeight="1" x14ac:dyDescent="0.2">
      <c r="A98" s="8"/>
      <c r="B98" s="27"/>
      <c r="C98" s="28"/>
      <c r="D98" s="28"/>
      <c r="E98" s="28"/>
      <c r="F98" s="28"/>
      <c r="G98" s="8"/>
      <c r="H98" s="8"/>
      <c r="I98" s="8"/>
      <c r="J98" s="8"/>
      <c r="K98" s="8"/>
      <c r="L98" s="8"/>
      <c r="M98" s="8"/>
      <c r="N98" s="8"/>
      <c r="O98" s="8"/>
      <c r="P98" s="8"/>
      <c r="Q98" s="8"/>
      <c r="R98" s="8"/>
      <c r="S98" s="8"/>
      <c r="T98" s="8"/>
      <c r="U98" s="8"/>
      <c r="V98" s="8"/>
      <c r="W98" s="8"/>
      <c r="X98" s="8"/>
      <c r="Y98" s="8"/>
      <c r="Z98" s="8"/>
    </row>
    <row r="99" spans="1:26" ht="12.75" customHeight="1" x14ac:dyDescent="0.2">
      <c r="A99" s="8"/>
      <c r="B99" s="27"/>
      <c r="C99" s="28"/>
      <c r="D99" s="28"/>
      <c r="E99" s="28"/>
      <c r="F99" s="28"/>
      <c r="G99" s="8"/>
      <c r="H99" s="8"/>
      <c r="I99" s="8"/>
      <c r="J99" s="8"/>
      <c r="K99" s="8"/>
      <c r="L99" s="8"/>
      <c r="M99" s="8"/>
      <c r="N99" s="8"/>
      <c r="O99" s="8"/>
      <c r="P99" s="8"/>
      <c r="Q99" s="8"/>
      <c r="R99" s="8"/>
      <c r="S99" s="8"/>
      <c r="T99" s="8"/>
      <c r="U99" s="8"/>
      <c r="V99" s="8"/>
      <c r="W99" s="8"/>
      <c r="X99" s="8"/>
      <c r="Y99" s="8"/>
      <c r="Z99" s="8"/>
    </row>
    <row r="100" spans="1:26" ht="12.75" customHeight="1" x14ac:dyDescent="0.2">
      <c r="A100" s="8"/>
      <c r="B100" s="27"/>
      <c r="C100" s="28"/>
      <c r="D100" s="28"/>
      <c r="E100" s="28"/>
      <c r="F100" s="2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2">
      <c r="A101" s="8"/>
      <c r="B101" s="27"/>
      <c r="C101" s="28"/>
      <c r="D101" s="28"/>
      <c r="E101" s="28"/>
      <c r="F101" s="2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2">
      <c r="A102" s="8"/>
      <c r="B102" s="27"/>
      <c r="C102" s="28"/>
      <c r="D102" s="28"/>
      <c r="E102" s="28"/>
      <c r="F102" s="2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2">
      <c r="A103" s="8"/>
      <c r="B103" s="27"/>
      <c r="C103" s="28"/>
      <c r="D103" s="28"/>
      <c r="E103" s="28"/>
      <c r="F103" s="2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2">
      <c r="A104" s="8"/>
      <c r="B104" s="27"/>
      <c r="C104" s="28"/>
      <c r="D104" s="28"/>
      <c r="E104" s="28"/>
      <c r="F104" s="2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2">
      <c r="A105" s="8"/>
      <c r="B105" s="27"/>
      <c r="C105" s="28"/>
      <c r="D105" s="28"/>
      <c r="E105" s="28"/>
      <c r="F105" s="2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2">
      <c r="A106" s="8"/>
      <c r="B106" s="27"/>
      <c r="C106" s="28"/>
      <c r="D106" s="28"/>
      <c r="E106" s="28"/>
      <c r="F106" s="2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2">
      <c r="A107" s="8"/>
      <c r="B107" s="27"/>
      <c r="C107" s="28"/>
      <c r="D107" s="28"/>
      <c r="E107" s="28"/>
      <c r="F107" s="2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2">
      <c r="A108" s="8"/>
      <c r="B108" s="27"/>
      <c r="C108" s="28"/>
      <c r="D108" s="28"/>
      <c r="E108" s="28"/>
      <c r="F108" s="2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2">
      <c r="A109" s="8"/>
      <c r="B109" s="27"/>
      <c r="C109" s="28"/>
      <c r="D109" s="28"/>
      <c r="E109" s="28"/>
      <c r="F109" s="2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2">
      <c r="A110" s="8"/>
      <c r="B110" s="27"/>
      <c r="C110" s="28"/>
      <c r="D110" s="28"/>
      <c r="E110" s="28"/>
      <c r="F110" s="2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2">
      <c r="A111" s="8"/>
      <c r="B111" s="27"/>
      <c r="C111" s="28"/>
      <c r="D111" s="28"/>
      <c r="E111" s="28"/>
      <c r="F111" s="2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2">
      <c r="A112" s="8"/>
      <c r="B112" s="27"/>
      <c r="C112" s="28"/>
      <c r="D112" s="28"/>
      <c r="E112" s="28"/>
      <c r="F112" s="2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2">
      <c r="A113" s="8"/>
      <c r="B113" s="27"/>
      <c r="C113" s="28"/>
      <c r="D113" s="28"/>
      <c r="E113" s="28"/>
      <c r="F113" s="2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2">
      <c r="A114" s="8"/>
      <c r="B114" s="27"/>
      <c r="C114" s="28"/>
      <c r="D114" s="28"/>
      <c r="E114" s="28"/>
      <c r="F114" s="2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2">
      <c r="A115" s="8"/>
      <c r="B115" s="27"/>
      <c r="C115" s="28"/>
      <c r="D115" s="28"/>
      <c r="E115" s="28"/>
      <c r="F115" s="2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2">
      <c r="A116" s="8"/>
      <c r="B116" s="27"/>
      <c r="C116" s="28"/>
      <c r="D116" s="28"/>
      <c r="E116" s="28"/>
      <c r="F116" s="2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2">
      <c r="A117" s="8"/>
      <c r="B117" s="27"/>
      <c r="C117" s="28"/>
      <c r="D117" s="28"/>
      <c r="E117" s="28"/>
      <c r="F117" s="2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2">
      <c r="A118" s="8"/>
      <c r="B118" s="27"/>
      <c r="C118" s="28"/>
      <c r="D118" s="28"/>
      <c r="E118" s="28"/>
      <c r="F118" s="2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2">
      <c r="A119" s="8"/>
      <c r="B119" s="27"/>
      <c r="C119" s="28"/>
      <c r="D119" s="28"/>
      <c r="E119" s="28"/>
      <c r="F119" s="2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2">
      <c r="A120" s="8"/>
      <c r="B120" s="27"/>
      <c r="C120" s="28"/>
      <c r="D120" s="28"/>
      <c r="E120" s="28"/>
      <c r="F120" s="2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2">
      <c r="A121" s="8"/>
      <c r="B121" s="27"/>
      <c r="C121" s="28"/>
      <c r="D121" s="28"/>
      <c r="E121" s="28"/>
      <c r="F121" s="2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2">
      <c r="A122" s="8"/>
      <c r="B122" s="27"/>
      <c r="C122" s="28"/>
      <c r="D122" s="28"/>
      <c r="E122" s="28"/>
      <c r="F122" s="2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2">
      <c r="A123" s="8"/>
      <c r="B123" s="27"/>
      <c r="C123" s="28"/>
      <c r="D123" s="28"/>
      <c r="E123" s="28"/>
      <c r="F123" s="2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2">
      <c r="A124" s="8"/>
      <c r="B124" s="27"/>
      <c r="C124" s="28"/>
      <c r="D124" s="28"/>
      <c r="E124" s="28"/>
      <c r="F124" s="2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2">
      <c r="A125" s="8"/>
      <c r="B125" s="27"/>
      <c r="C125" s="28"/>
      <c r="D125" s="28"/>
      <c r="E125" s="28"/>
      <c r="F125" s="2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2">
      <c r="A126" s="8"/>
      <c r="B126" s="27"/>
      <c r="C126" s="28"/>
      <c r="D126" s="28"/>
      <c r="E126" s="28"/>
      <c r="F126" s="2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2">
      <c r="A127" s="8"/>
      <c r="B127" s="27"/>
      <c r="C127" s="28"/>
      <c r="D127" s="28"/>
      <c r="E127" s="28"/>
      <c r="F127" s="2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2">
      <c r="A128" s="8"/>
      <c r="B128" s="27"/>
      <c r="C128" s="28"/>
      <c r="D128" s="28"/>
      <c r="E128" s="28"/>
      <c r="F128" s="2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2">
      <c r="A129" s="8"/>
      <c r="B129" s="27"/>
      <c r="C129" s="28"/>
      <c r="D129" s="28"/>
      <c r="E129" s="28"/>
      <c r="F129" s="2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2">
      <c r="A130" s="8"/>
      <c r="B130" s="27"/>
      <c r="C130" s="28"/>
      <c r="D130" s="28"/>
      <c r="E130" s="28"/>
      <c r="F130" s="2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2">
      <c r="A131" s="8"/>
      <c r="B131" s="27"/>
      <c r="C131" s="28"/>
      <c r="D131" s="28"/>
      <c r="E131" s="28"/>
      <c r="F131" s="2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2">
      <c r="A132" s="8"/>
      <c r="B132" s="27"/>
      <c r="C132" s="28"/>
      <c r="D132" s="28"/>
      <c r="E132" s="28"/>
      <c r="F132" s="2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2">
      <c r="A133" s="8"/>
      <c r="B133" s="27"/>
      <c r="C133" s="28"/>
      <c r="D133" s="28"/>
      <c r="E133" s="28"/>
      <c r="F133" s="2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2">
      <c r="A134" s="8"/>
      <c r="B134" s="27"/>
      <c r="C134" s="28"/>
      <c r="D134" s="28"/>
      <c r="E134" s="28"/>
      <c r="F134" s="2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2">
      <c r="A135" s="8"/>
      <c r="B135" s="27"/>
      <c r="C135" s="28"/>
      <c r="D135" s="28"/>
      <c r="E135" s="28"/>
      <c r="F135" s="2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2">
      <c r="A136" s="8"/>
      <c r="B136" s="27"/>
      <c r="C136" s="28"/>
      <c r="D136" s="28"/>
      <c r="E136" s="28"/>
      <c r="F136" s="2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2">
      <c r="A137" s="8"/>
      <c r="B137" s="27"/>
      <c r="C137" s="28"/>
      <c r="D137" s="28"/>
      <c r="E137" s="28"/>
      <c r="F137" s="2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2">
      <c r="A138" s="8"/>
      <c r="B138" s="27"/>
      <c r="C138" s="28"/>
      <c r="D138" s="28"/>
      <c r="E138" s="28"/>
      <c r="F138" s="2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2">
      <c r="A139" s="8"/>
      <c r="B139" s="27"/>
      <c r="C139" s="28"/>
      <c r="D139" s="28"/>
      <c r="E139" s="28"/>
      <c r="F139" s="2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2">
      <c r="A140" s="8"/>
      <c r="B140" s="27"/>
      <c r="C140" s="28"/>
      <c r="D140" s="28"/>
      <c r="E140" s="28"/>
      <c r="F140" s="2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2">
      <c r="A141" s="8"/>
      <c r="B141" s="27"/>
      <c r="C141" s="28"/>
      <c r="D141" s="28"/>
      <c r="E141" s="28"/>
      <c r="F141" s="2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2">
      <c r="A142" s="8"/>
      <c r="B142" s="27"/>
      <c r="C142" s="28"/>
      <c r="D142" s="28"/>
      <c r="E142" s="28"/>
      <c r="F142" s="2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2">
      <c r="A143" s="8"/>
      <c r="B143" s="27"/>
      <c r="C143" s="28"/>
      <c r="D143" s="28"/>
      <c r="E143" s="28"/>
      <c r="F143" s="2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2">
      <c r="A144" s="8"/>
      <c r="B144" s="27"/>
      <c r="C144" s="28"/>
      <c r="D144" s="28"/>
      <c r="E144" s="28"/>
      <c r="F144" s="2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2">
      <c r="A145" s="8"/>
      <c r="B145" s="27"/>
      <c r="C145" s="28"/>
      <c r="D145" s="28"/>
      <c r="E145" s="28"/>
      <c r="F145" s="2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2">
      <c r="A146" s="8"/>
      <c r="B146" s="27"/>
      <c r="C146" s="28"/>
      <c r="D146" s="28"/>
      <c r="E146" s="28"/>
      <c r="F146" s="2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2">
      <c r="A147" s="8"/>
      <c r="B147" s="27"/>
      <c r="C147" s="28"/>
      <c r="D147" s="28"/>
      <c r="E147" s="28"/>
      <c r="F147" s="2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2">
      <c r="A148" s="8"/>
      <c r="B148" s="27"/>
      <c r="C148" s="28"/>
      <c r="D148" s="28"/>
      <c r="E148" s="28"/>
      <c r="F148" s="2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2">
      <c r="A149" s="8"/>
      <c r="B149" s="27"/>
      <c r="C149" s="28"/>
      <c r="D149" s="28"/>
      <c r="E149" s="28"/>
      <c r="F149" s="2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2">
      <c r="A150" s="8"/>
      <c r="B150" s="27"/>
      <c r="C150" s="28"/>
      <c r="D150" s="28"/>
      <c r="E150" s="28"/>
      <c r="F150" s="2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2">
      <c r="A151" s="8"/>
      <c r="B151" s="27"/>
      <c r="C151" s="28"/>
      <c r="D151" s="28"/>
      <c r="E151" s="28"/>
      <c r="F151" s="2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2">
      <c r="A152" s="8"/>
      <c r="B152" s="27"/>
      <c r="C152" s="28"/>
      <c r="D152" s="28"/>
      <c r="E152" s="28"/>
      <c r="F152" s="2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2">
      <c r="A153" s="8"/>
      <c r="B153" s="27"/>
      <c r="C153" s="28"/>
      <c r="D153" s="28"/>
      <c r="E153" s="28"/>
      <c r="F153" s="2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2">
      <c r="A154" s="8"/>
      <c r="B154" s="27"/>
      <c r="C154" s="28"/>
      <c r="D154" s="28"/>
      <c r="E154" s="28"/>
      <c r="F154" s="2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2">
      <c r="A155" s="8"/>
      <c r="B155" s="27"/>
      <c r="C155" s="28"/>
      <c r="D155" s="28"/>
      <c r="E155" s="28"/>
      <c r="F155" s="2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2">
      <c r="A156" s="8"/>
      <c r="B156" s="27"/>
      <c r="C156" s="28"/>
      <c r="D156" s="28"/>
      <c r="E156" s="28"/>
      <c r="F156" s="2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2">
      <c r="A157" s="8"/>
      <c r="B157" s="27"/>
      <c r="C157" s="28"/>
      <c r="D157" s="28"/>
      <c r="E157" s="28"/>
      <c r="F157" s="2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2">
      <c r="A158" s="8"/>
      <c r="B158" s="27"/>
      <c r="C158" s="28"/>
      <c r="D158" s="28"/>
      <c r="E158" s="28"/>
      <c r="F158" s="2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2">
      <c r="A159" s="8"/>
      <c r="B159" s="27"/>
      <c r="C159" s="28"/>
      <c r="D159" s="28"/>
      <c r="E159" s="28"/>
      <c r="F159" s="2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2">
      <c r="A160" s="8"/>
      <c r="B160" s="27"/>
      <c r="C160" s="28"/>
      <c r="D160" s="28"/>
      <c r="E160" s="28"/>
      <c r="F160" s="2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2">
      <c r="A161" s="8"/>
      <c r="B161" s="27"/>
      <c r="C161" s="28"/>
      <c r="D161" s="28"/>
      <c r="E161" s="28"/>
      <c r="F161" s="2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2">
      <c r="A162" s="8"/>
      <c r="B162" s="27"/>
      <c r="C162" s="28"/>
      <c r="D162" s="28"/>
      <c r="E162" s="28"/>
      <c r="F162" s="2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2">
      <c r="A163" s="8"/>
      <c r="B163" s="27"/>
      <c r="C163" s="28"/>
      <c r="D163" s="28"/>
      <c r="E163" s="28"/>
      <c r="F163" s="2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2">
      <c r="A164" s="8"/>
      <c r="B164" s="27"/>
      <c r="C164" s="28"/>
      <c r="D164" s="28"/>
      <c r="E164" s="28"/>
      <c r="F164" s="2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2">
      <c r="A165" s="8"/>
      <c r="B165" s="27"/>
      <c r="C165" s="28"/>
      <c r="D165" s="28"/>
      <c r="E165" s="28"/>
      <c r="F165" s="2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2">
      <c r="A166" s="8"/>
      <c r="B166" s="27"/>
      <c r="C166" s="28"/>
      <c r="D166" s="28"/>
      <c r="E166" s="28"/>
      <c r="F166" s="2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2">
      <c r="A167" s="8"/>
      <c r="B167" s="27"/>
      <c r="C167" s="28"/>
      <c r="D167" s="28"/>
      <c r="E167" s="28"/>
      <c r="F167" s="2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2">
      <c r="A168" s="8"/>
      <c r="B168" s="27"/>
      <c r="C168" s="28"/>
      <c r="D168" s="28"/>
      <c r="E168" s="28"/>
      <c r="F168" s="2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2">
      <c r="A169" s="8"/>
      <c r="B169" s="27"/>
      <c r="C169" s="28"/>
      <c r="D169" s="28"/>
      <c r="E169" s="28"/>
      <c r="F169" s="2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2">
      <c r="A170" s="8"/>
      <c r="B170" s="27"/>
      <c r="C170" s="28"/>
      <c r="D170" s="28"/>
      <c r="E170" s="28"/>
      <c r="F170" s="2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2">
      <c r="A171" s="8"/>
      <c r="B171" s="27"/>
      <c r="C171" s="28"/>
      <c r="D171" s="28"/>
      <c r="E171" s="28"/>
      <c r="F171" s="2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2">
      <c r="A172" s="8"/>
      <c r="B172" s="27"/>
      <c r="C172" s="28"/>
      <c r="D172" s="28"/>
      <c r="E172" s="28"/>
      <c r="F172" s="2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2">
      <c r="A173" s="8"/>
      <c r="B173" s="27"/>
      <c r="C173" s="28"/>
      <c r="D173" s="28"/>
      <c r="E173" s="28"/>
      <c r="F173" s="2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2">
      <c r="A174" s="8"/>
      <c r="B174" s="27"/>
      <c r="C174" s="28"/>
      <c r="D174" s="28"/>
      <c r="E174" s="28"/>
      <c r="F174" s="2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2">
      <c r="A175" s="8"/>
      <c r="B175" s="27"/>
      <c r="C175" s="28"/>
      <c r="D175" s="28"/>
      <c r="E175" s="28"/>
      <c r="F175" s="2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2">
      <c r="A176" s="8"/>
      <c r="B176" s="27"/>
      <c r="C176" s="28"/>
      <c r="D176" s="28"/>
      <c r="E176" s="28"/>
      <c r="F176" s="2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2">
      <c r="A177" s="8"/>
      <c r="B177" s="27"/>
      <c r="C177" s="28"/>
      <c r="D177" s="28"/>
      <c r="E177" s="28"/>
      <c r="F177" s="2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2">
      <c r="A178" s="8"/>
      <c r="B178" s="27"/>
      <c r="C178" s="28"/>
      <c r="D178" s="28"/>
      <c r="E178" s="28"/>
      <c r="F178" s="2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2">
      <c r="A179" s="8"/>
      <c r="B179" s="27"/>
      <c r="C179" s="28"/>
      <c r="D179" s="28"/>
      <c r="E179" s="28"/>
      <c r="F179" s="2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2">
      <c r="A180" s="8"/>
      <c r="B180" s="27"/>
      <c r="C180" s="28"/>
      <c r="D180" s="28"/>
      <c r="E180" s="28"/>
      <c r="F180" s="2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2">
      <c r="A181" s="8"/>
      <c r="B181" s="27"/>
      <c r="C181" s="28"/>
      <c r="D181" s="28"/>
      <c r="E181" s="28"/>
      <c r="F181" s="2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2">
      <c r="A182" s="8"/>
      <c r="B182" s="27"/>
      <c r="C182" s="28"/>
      <c r="D182" s="28"/>
      <c r="E182" s="28"/>
      <c r="F182" s="2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2">
      <c r="A183" s="8"/>
      <c r="B183" s="27"/>
      <c r="C183" s="28"/>
      <c r="D183" s="28"/>
      <c r="E183" s="28"/>
      <c r="F183" s="2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2">
      <c r="A184" s="8"/>
      <c r="B184" s="27"/>
      <c r="C184" s="28"/>
      <c r="D184" s="28"/>
      <c r="E184" s="28"/>
      <c r="F184" s="2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2">
      <c r="A185" s="8"/>
      <c r="B185" s="27"/>
      <c r="C185" s="28"/>
      <c r="D185" s="28"/>
      <c r="E185" s="28"/>
      <c r="F185" s="2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2">
      <c r="A186" s="8"/>
      <c r="B186" s="27"/>
      <c r="C186" s="28"/>
      <c r="D186" s="28"/>
      <c r="E186" s="28"/>
      <c r="F186" s="2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2">
      <c r="A187" s="8"/>
      <c r="B187" s="27"/>
      <c r="C187" s="28"/>
      <c r="D187" s="28"/>
      <c r="E187" s="28"/>
      <c r="F187" s="2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2">
      <c r="A188" s="8"/>
      <c r="B188" s="27"/>
      <c r="C188" s="28"/>
      <c r="D188" s="28"/>
      <c r="E188" s="28"/>
      <c r="F188" s="2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2">
      <c r="A189" s="8"/>
      <c r="B189" s="27"/>
      <c r="C189" s="28"/>
      <c r="D189" s="28"/>
      <c r="E189" s="28"/>
      <c r="F189" s="2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2">
      <c r="A190" s="8"/>
      <c r="B190" s="27"/>
      <c r="C190" s="28"/>
      <c r="D190" s="28"/>
      <c r="E190" s="28"/>
      <c r="F190" s="2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2">
      <c r="A191" s="8"/>
      <c r="B191" s="27"/>
      <c r="C191" s="28"/>
      <c r="D191" s="28"/>
      <c r="E191" s="28"/>
      <c r="F191" s="2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2">
      <c r="A192" s="8"/>
      <c r="B192" s="27"/>
      <c r="C192" s="28"/>
      <c r="D192" s="28"/>
      <c r="E192" s="28"/>
      <c r="F192" s="2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2">
      <c r="A193" s="8"/>
      <c r="B193" s="27"/>
      <c r="C193" s="28"/>
      <c r="D193" s="28"/>
      <c r="E193" s="28"/>
      <c r="F193" s="2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2">
      <c r="A194" s="8"/>
      <c r="B194" s="27"/>
      <c r="C194" s="28"/>
      <c r="D194" s="28"/>
      <c r="E194" s="28"/>
      <c r="F194" s="2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2">
      <c r="A195" s="8"/>
      <c r="B195" s="27"/>
      <c r="C195" s="28"/>
      <c r="D195" s="28"/>
      <c r="E195" s="28"/>
      <c r="F195" s="2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2">
      <c r="A196" s="8"/>
      <c r="B196" s="27"/>
      <c r="C196" s="28"/>
      <c r="D196" s="28"/>
      <c r="E196" s="28"/>
      <c r="F196" s="2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2">
      <c r="A197" s="8"/>
      <c r="B197" s="27"/>
      <c r="C197" s="28"/>
      <c r="D197" s="28"/>
      <c r="E197" s="28"/>
      <c r="F197" s="2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2">
      <c r="A198" s="8"/>
      <c r="B198" s="27"/>
      <c r="C198" s="28"/>
      <c r="D198" s="28"/>
      <c r="E198" s="28"/>
      <c r="F198" s="2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2">
      <c r="A199" s="8"/>
      <c r="B199" s="27"/>
      <c r="C199" s="28"/>
      <c r="D199" s="28"/>
      <c r="E199" s="28"/>
      <c r="F199" s="2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2">
      <c r="A200" s="8"/>
      <c r="B200" s="27"/>
      <c r="C200" s="28"/>
      <c r="D200" s="28"/>
      <c r="E200" s="28"/>
      <c r="F200" s="2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2">
      <c r="A201" s="8"/>
      <c r="B201" s="27"/>
      <c r="C201" s="28"/>
      <c r="D201" s="28"/>
      <c r="E201" s="28"/>
      <c r="F201" s="2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2">
      <c r="A202" s="8"/>
      <c r="B202" s="27"/>
      <c r="C202" s="28"/>
      <c r="D202" s="28"/>
      <c r="E202" s="28"/>
      <c r="F202" s="2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2">
      <c r="A203" s="8"/>
      <c r="B203" s="27"/>
      <c r="C203" s="28"/>
      <c r="D203" s="28"/>
      <c r="E203" s="28"/>
      <c r="F203" s="2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2">
      <c r="A204" s="8"/>
      <c r="B204" s="27"/>
      <c r="C204" s="28"/>
      <c r="D204" s="28"/>
      <c r="E204" s="28"/>
      <c r="F204" s="2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2">
      <c r="A205" s="8"/>
      <c r="B205" s="27"/>
      <c r="C205" s="28"/>
      <c r="D205" s="28"/>
      <c r="E205" s="28"/>
      <c r="F205" s="2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2">
      <c r="A206" s="8"/>
      <c r="B206" s="27"/>
      <c r="C206" s="28"/>
      <c r="D206" s="28"/>
      <c r="E206" s="28"/>
      <c r="F206" s="2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2">
      <c r="A207" s="8"/>
      <c r="B207" s="27"/>
      <c r="C207" s="28"/>
      <c r="D207" s="28"/>
      <c r="E207" s="28"/>
      <c r="F207" s="2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2">
      <c r="A208" s="8"/>
      <c r="B208" s="27"/>
      <c r="C208" s="28"/>
      <c r="D208" s="28"/>
      <c r="E208" s="28"/>
      <c r="F208" s="2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2">
      <c r="A209" s="8"/>
      <c r="B209" s="27"/>
      <c r="C209" s="28"/>
      <c r="D209" s="28"/>
      <c r="E209" s="28"/>
      <c r="F209" s="2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2">
      <c r="A210" s="8"/>
      <c r="B210" s="27"/>
      <c r="C210" s="28"/>
      <c r="D210" s="28"/>
      <c r="E210" s="28"/>
      <c r="F210" s="2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2">
      <c r="A211" s="8"/>
      <c r="B211" s="27"/>
      <c r="C211" s="28"/>
      <c r="D211" s="28"/>
      <c r="E211" s="28"/>
      <c r="F211" s="2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2">
      <c r="A212" s="8"/>
      <c r="B212" s="27"/>
      <c r="C212" s="28"/>
      <c r="D212" s="28"/>
      <c r="E212" s="28"/>
      <c r="F212" s="2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2">
      <c r="A213" s="8"/>
      <c r="B213" s="27"/>
      <c r="C213" s="28"/>
      <c r="D213" s="28"/>
      <c r="E213" s="28"/>
      <c r="F213" s="2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2">
      <c r="A214" s="8"/>
      <c r="B214" s="27"/>
      <c r="C214" s="28"/>
      <c r="D214" s="28"/>
      <c r="E214" s="28"/>
      <c r="F214" s="2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2">
      <c r="A215" s="8"/>
      <c r="B215" s="27"/>
      <c r="C215" s="28"/>
      <c r="D215" s="28"/>
      <c r="E215" s="28"/>
      <c r="F215" s="2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2">
      <c r="A216" s="8"/>
      <c r="B216" s="27"/>
      <c r="C216" s="28"/>
      <c r="D216" s="28"/>
      <c r="E216" s="28"/>
      <c r="F216" s="2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2">
      <c r="A217" s="8"/>
      <c r="B217" s="27"/>
      <c r="C217" s="28"/>
      <c r="D217" s="28"/>
      <c r="E217" s="28"/>
      <c r="F217" s="2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2">
      <c r="A218" s="8"/>
      <c r="B218" s="27"/>
      <c r="C218" s="28"/>
      <c r="D218" s="28"/>
      <c r="E218" s="28"/>
      <c r="F218" s="2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2">
      <c r="A219" s="8"/>
      <c r="B219" s="27"/>
      <c r="C219" s="28"/>
      <c r="D219" s="28"/>
      <c r="E219" s="28"/>
      <c r="F219" s="2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5.75" customHeight="1" x14ac:dyDescent="0.2">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5.75" customHeight="1" x14ac:dyDescent="0.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5.75" customHeight="1" x14ac:dyDescent="0.2">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5.75" customHeight="1" x14ac:dyDescent="0.2">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5.75" customHeight="1" x14ac:dyDescent="0.2">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5.75" customHeight="1" x14ac:dyDescent="0.2">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5.75" customHeight="1" x14ac:dyDescent="0.2">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5.75" customHeight="1" x14ac:dyDescent="0.2">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5.75" customHeight="1" x14ac:dyDescent="0.2">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5.75" customHeight="1" x14ac:dyDescent="0.2">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5.75" customHeight="1" x14ac:dyDescent="0.2">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5.75" customHeight="1" x14ac:dyDescent="0.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5.75" customHeight="1" x14ac:dyDescent="0.2">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5.75" customHeight="1" x14ac:dyDescent="0.2">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5.75" customHeight="1" x14ac:dyDescent="0.2">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5.75" customHeight="1" x14ac:dyDescent="0.2">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5.75" customHeight="1" x14ac:dyDescent="0.2">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5.75" customHeight="1" x14ac:dyDescent="0.2">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5.75" customHeight="1" x14ac:dyDescent="0.2">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5.75" customHeight="1" x14ac:dyDescent="0.2">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5.75" customHeight="1" x14ac:dyDescent="0.2">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5.75" customHeight="1" x14ac:dyDescent="0.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5.75" customHeight="1" x14ac:dyDescent="0.2">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5.75" customHeight="1" x14ac:dyDescent="0.2">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5.75" customHeight="1" x14ac:dyDescent="0.2">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5.75" customHeight="1" x14ac:dyDescent="0.2">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5.75" customHeight="1" x14ac:dyDescent="0.2">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5.75" customHeight="1" x14ac:dyDescent="0.2">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5.75" customHeight="1" x14ac:dyDescent="0.2">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5.75" customHeight="1" x14ac:dyDescent="0.2">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5.75" customHeight="1" x14ac:dyDescent="0.2">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5.75" customHeight="1" x14ac:dyDescent="0.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5.75" customHeight="1" x14ac:dyDescent="0.2">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5.75" customHeight="1" x14ac:dyDescent="0.2">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5.75" customHeight="1" x14ac:dyDescent="0.2">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5.75" customHeight="1" x14ac:dyDescent="0.2">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5.75" customHeight="1" x14ac:dyDescent="0.2">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5.75" customHeight="1" x14ac:dyDescent="0.2">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5.75" customHeight="1" x14ac:dyDescent="0.2">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5.75" customHeight="1" x14ac:dyDescent="0.2">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5.75" customHeight="1" x14ac:dyDescent="0.2">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5.75" customHeight="1" x14ac:dyDescent="0.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5.75" customHeight="1" x14ac:dyDescent="0.2">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5.75" customHeight="1" x14ac:dyDescent="0.2">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x14ac:dyDescent="0.2">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5.75" customHeight="1" x14ac:dyDescent="0.2">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5.75" customHeight="1" x14ac:dyDescent="0.2">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5.75" customHeight="1" x14ac:dyDescent="0.2">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5.75" customHeight="1" x14ac:dyDescent="0.2">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5.75" customHeight="1" x14ac:dyDescent="0.2">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5.75" customHeight="1" x14ac:dyDescent="0.2">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5.75" customHeight="1" x14ac:dyDescent="0.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5.75" customHeight="1" x14ac:dyDescent="0.2">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5.75" customHeight="1" x14ac:dyDescent="0.2">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5.75" customHeight="1" x14ac:dyDescent="0.2">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5.75" customHeight="1" x14ac:dyDescent="0.2">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5.75" customHeight="1" x14ac:dyDescent="0.2">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5.75" customHeight="1" x14ac:dyDescent="0.2">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5.75" customHeight="1" x14ac:dyDescent="0.2">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5.75" customHeight="1" x14ac:dyDescent="0.2">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5.75" customHeight="1" x14ac:dyDescent="0.2">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5.75" customHeight="1" x14ac:dyDescent="0.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5.75" customHeight="1" x14ac:dyDescent="0.2">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5.75" customHeight="1" x14ac:dyDescent="0.2">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5.75" customHeight="1" x14ac:dyDescent="0.2">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5.75" customHeight="1" x14ac:dyDescent="0.2">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5.75" customHeight="1" x14ac:dyDescent="0.2">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5.75" customHeight="1" x14ac:dyDescent="0.2">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5.75" customHeight="1" x14ac:dyDescent="0.2">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5.75" customHeight="1" x14ac:dyDescent="0.2">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5.75" customHeight="1" x14ac:dyDescent="0.2">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5.75" customHeight="1" x14ac:dyDescent="0.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5.75" customHeight="1" x14ac:dyDescent="0.2">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5.75" customHeight="1" x14ac:dyDescent="0.2">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5.75" customHeight="1" x14ac:dyDescent="0.2">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5.75" customHeight="1" x14ac:dyDescent="0.2">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5.75" customHeight="1" x14ac:dyDescent="0.2">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5.75" customHeight="1" x14ac:dyDescent="0.2">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5.75" customHeight="1" x14ac:dyDescent="0.2">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5.75" customHeight="1" x14ac:dyDescent="0.2">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5.75" customHeight="1" x14ac:dyDescent="0.2">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5.75" customHeight="1" x14ac:dyDescent="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5.75" customHeight="1" x14ac:dyDescent="0.2">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5.75" customHeight="1" x14ac:dyDescent="0.2">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5.75" customHeight="1" x14ac:dyDescent="0.2">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5.75" customHeight="1" x14ac:dyDescent="0.2">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5.75" customHeight="1" x14ac:dyDescent="0.2">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5.75" customHeight="1" x14ac:dyDescent="0.2">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5.75" customHeight="1" x14ac:dyDescent="0.2">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5.75" customHeight="1" x14ac:dyDescent="0.2">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5.75" customHeight="1" x14ac:dyDescent="0.2">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5.75" customHeight="1" x14ac:dyDescent="0.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5.75" customHeight="1" x14ac:dyDescent="0.2">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5.75" customHeight="1" x14ac:dyDescent="0.2">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5.75" customHeight="1" x14ac:dyDescent="0.2">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5.75" customHeight="1" x14ac:dyDescent="0.2">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5.75" customHeight="1" x14ac:dyDescent="0.2">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5.75" customHeight="1" x14ac:dyDescent="0.2">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5.75" customHeight="1" x14ac:dyDescent="0.2">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5.75" customHeight="1" x14ac:dyDescent="0.2">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5.75" customHeight="1" x14ac:dyDescent="0.2">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5.75" customHeight="1" x14ac:dyDescent="0.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5.75" customHeight="1" x14ac:dyDescent="0.2">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5.75" customHeight="1" x14ac:dyDescent="0.2">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5.75" customHeight="1" x14ac:dyDescent="0.2">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5.75" customHeight="1" x14ac:dyDescent="0.2">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5.75" customHeight="1" x14ac:dyDescent="0.2">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5.75" customHeight="1" x14ac:dyDescent="0.2">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5.75" customHeight="1" x14ac:dyDescent="0.2">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5.75" customHeight="1" x14ac:dyDescent="0.2">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5.75" customHeight="1" x14ac:dyDescent="0.2">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5.75" customHeight="1" x14ac:dyDescent="0.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5.75" customHeight="1" x14ac:dyDescent="0.2">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5.75" customHeight="1" x14ac:dyDescent="0.2">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5.75" customHeight="1" x14ac:dyDescent="0.2">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5.75" customHeight="1" x14ac:dyDescent="0.2">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5.75" customHeight="1" x14ac:dyDescent="0.2">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5.75" customHeight="1" x14ac:dyDescent="0.2">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5.75" customHeight="1" x14ac:dyDescent="0.2">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5.75" customHeight="1" x14ac:dyDescent="0.2">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5.75" customHeight="1" x14ac:dyDescent="0.2">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5.75" customHeight="1" x14ac:dyDescent="0.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5.75" customHeight="1" x14ac:dyDescent="0.2">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5.75" customHeight="1" x14ac:dyDescent="0.2">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5.75" customHeight="1" x14ac:dyDescent="0.2">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5.75" customHeight="1" x14ac:dyDescent="0.2">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5.75" customHeight="1" x14ac:dyDescent="0.2">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5.75" customHeight="1" x14ac:dyDescent="0.2">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5.75" customHeight="1" x14ac:dyDescent="0.2">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5.75" customHeight="1" x14ac:dyDescent="0.2">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5.75" customHeight="1" x14ac:dyDescent="0.2">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5.75" customHeight="1" x14ac:dyDescent="0.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5.75" customHeight="1" x14ac:dyDescent="0.2">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5.75" customHeight="1" x14ac:dyDescent="0.2">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5.75" customHeight="1" x14ac:dyDescent="0.2">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5.75" customHeight="1" x14ac:dyDescent="0.2">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5.75" customHeight="1" x14ac:dyDescent="0.2">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5.75" customHeight="1" x14ac:dyDescent="0.2">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5.75" customHeight="1" x14ac:dyDescent="0.2">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5.75" customHeight="1" x14ac:dyDescent="0.2">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5.75" customHeight="1" x14ac:dyDescent="0.2">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5.75" customHeight="1" x14ac:dyDescent="0.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spans="1:26" ht="15.75" customHeight="1" x14ac:dyDescent="0.2">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spans="1:26" ht="15.75" customHeight="1" x14ac:dyDescent="0.2">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spans="1:26" ht="15.75" customHeight="1" x14ac:dyDescent="0.2">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spans="1:26" ht="15.75" customHeight="1" x14ac:dyDescent="0.2">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spans="1:26" ht="15.75" customHeight="1" x14ac:dyDescent="0.2">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spans="1:26" ht="15.75" customHeight="1" x14ac:dyDescent="0.2">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spans="1:26" ht="15.75" customHeight="1" x14ac:dyDescent="0.2">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spans="1:26" ht="15.75" customHeight="1" x14ac:dyDescent="0.2">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spans="1:26" ht="15.75" customHeight="1" x14ac:dyDescent="0.2">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spans="1:26" ht="15.75" customHeight="1" x14ac:dyDescent="0.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spans="1:26" ht="15.75" customHeight="1" x14ac:dyDescent="0.2">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spans="1:26" ht="15.75" customHeight="1" x14ac:dyDescent="0.2">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spans="1:26" ht="15.75" customHeight="1" x14ac:dyDescent="0.2">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spans="1:26" ht="15.75" customHeight="1" x14ac:dyDescent="0.2">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spans="1:26" ht="15.75" customHeight="1" x14ac:dyDescent="0.2">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spans="1:26" ht="15.75" customHeight="1" x14ac:dyDescent="0.2">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spans="1:26" ht="15.75" customHeight="1" x14ac:dyDescent="0.2">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spans="1:26" ht="15.75" customHeight="1" x14ac:dyDescent="0.2">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spans="1:26" ht="15.75" customHeight="1" x14ac:dyDescent="0.2">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spans="1:26" ht="15.75" customHeight="1" x14ac:dyDescent="0.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spans="1:26" ht="15.75" customHeight="1" x14ac:dyDescent="0.2">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spans="1:26" ht="15.75" customHeight="1" x14ac:dyDescent="0.2">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spans="1:26" ht="15.75" customHeight="1" x14ac:dyDescent="0.2">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spans="1:26" ht="15.75" customHeight="1" x14ac:dyDescent="0.2">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spans="1:26" ht="15.75" customHeight="1" x14ac:dyDescent="0.2">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spans="1:26" ht="15.75" customHeight="1" x14ac:dyDescent="0.2">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spans="1:26" ht="15.75" customHeight="1" x14ac:dyDescent="0.2">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spans="1:26" ht="15.75" customHeight="1" x14ac:dyDescent="0.2">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spans="1:26" ht="15.75" customHeight="1" x14ac:dyDescent="0.2">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spans="1:26" ht="15.75" customHeight="1" x14ac:dyDescent="0.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spans="1:26" ht="15.75" customHeight="1" x14ac:dyDescent="0.2">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spans="1:26" ht="15.75" customHeight="1" x14ac:dyDescent="0.2">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spans="1:26" ht="15.75" customHeight="1" x14ac:dyDescent="0.2">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spans="1:26" ht="15.75" customHeight="1" x14ac:dyDescent="0.2">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spans="1:26" ht="15.75" customHeight="1" x14ac:dyDescent="0.2">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spans="1:26" ht="15.75" customHeight="1" x14ac:dyDescent="0.2">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spans="1:26" ht="15.75" customHeight="1" x14ac:dyDescent="0.2">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spans="1:26" ht="15.75" customHeight="1" x14ac:dyDescent="0.2">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spans="1:26" ht="15.75" customHeight="1" x14ac:dyDescent="0.2">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spans="1:26" ht="15.75" customHeight="1" x14ac:dyDescent="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spans="1:26" ht="15.75" customHeight="1" x14ac:dyDescent="0.2">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spans="1:26" ht="15.75" customHeight="1" x14ac:dyDescent="0.2">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spans="1:26" ht="15.75" customHeight="1" x14ac:dyDescent="0.2">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spans="1:26" ht="15.75" customHeight="1" x14ac:dyDescent="0.2">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spans="1:26" ht="15.75" customHeight="1" x14ac:dyDescent="0.2">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spans="1:26" ht="15.75" customHeight="1" x14ac:dyDescent="0.2">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spans="1:26" ht="15.75" customHeight="1" x14ac:dyDescent="0.2">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spans="1:26" ht="15.75" customHeight="1" x14ac:dyDescent="0.2">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spans="1:26" ht="15.75" customHeight="1" x14ac:dyDescent="0.2">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spans="1:26" ht="15.75" customHeight="1" x14ac:dyDescent="0.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spans="1:26" ht="15.75" customHeight="1" x14ac:dyDescent="0.2">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spans="1:26" ht="15.75" customHeight="1" x14ac:dyDescent="0.2">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spans="1:26" ht="15.75" customHeight="1" x14ac:dyDescent="0.2">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spans="1:26" ht="15.75" customHeight="1" x14ac:dyDescent="0.2">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spans="1:26" ht="15.75" customHeight="1" x14ac:dyDescent="0.2">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spans="1:26" ht="15.75" customHeight="1" x14ac:dyDescent="0.2">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spans="1:26" ht="15.75" customHeight="1" x14ac:dyDescent="0.2">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spans="1:26" ht="15.75" customHeight="1" x14ac:dyDescent="0.2">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spans="1:26" ht="15.75" customHeight="1" x14ac:dyDescent="0.2">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spans="1:26" ht="15.75" customHeight="1" x14ac:dyDescent="0.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spans="1:26" ht="15.75" customHeight="1" x14ac:dyDescent="0.2">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spans="1:26" ht="15.75" customHeight="1" x14ac:dyDescent="0.2">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spans="1:26" ht="15.75" customHeight="1" x14ac:dyDescent="0.2">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spans="1:26" ht="15.75" customHeight="1" x14ac:dyDescent="0.2">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spans="1:26" ht="15.75" customHeight="1" x14ac:dyDescent="0.2">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spans="1:26" ht="15.75" customHeight="1" x14ac:dyDescent="0.2">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spans="1:26" ht="15.75" customHeight="1" x14ac:dyDescent="0.2">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spans="1:26" ht="15.75" customHeight="1" x14ac:dyDescent="0.2">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spans="1:26" ht="15.75" customHeight="1" x14ac:dyDescent="0.2">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spans="1:26" ht="15.75" customHeight="1" x14ac:dyDescent="0.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spans="1:26" ht="15.75" customHeight="1" x14ac:dyDescent="0.2">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spans="1:26" ht="15.75" customHeight="1" x14ac:dyDescent="0.2">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spans="1:26" ht="15.75" customHeight="1" x14ac:dyDescent="0.2">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spans="1:26" ht="15.75" customHeight="1" x14ac:dyDescent="0.2">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spans="1:26" ht="15.75" customHeight="1" x14ac:dyDescent="0.2">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spans="1:26" ht="15.75" customHeight="1" x14ac:dyDescent="0.2">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spans="1:26" ht="15.75" customHeight="1" x14ac:dyDescent="0.2">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spans="1:26" ht="15.75" customHeight="1" x14ac:dyDescent="0.2">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spans="1:26" ht="15.75" customHeight="1" x14ac:dyDescent="0.2">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spans="1:26" ht="15.75" customHeight="1" x14ac:dyDescent="0.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spans="1:26" ht="15.75" customHeight="1" x14ac:dyDescent="0.2">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spans="1:26" ht="15.75" customHeight="1" x14ac:dyDescent="0.2">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spans="1:26" ht="15.75" customHeight="1" x14ac:dyDescent="0.2">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spans="1:26" ht="15.75" customHeight="1" x14ac:dyDescent="0.2">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spans="1:26" ht="15.75" customHeight="1" x14ac:dyDescent="0.2">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spans="1:26" ht="15.75" customHeight="1" x14ac:dyDescent="0.2">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spans="1:26" ht="15.75" customHeight="1" x14ac:dyDescent="0.2">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spans="1:26" ht="15.75" customHeight="1" x14ac:dyDescent="0.2">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spans="1:26" ht="15.75" customHeight="1" x14ac:dyDescent="0.2">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spans="1:26" ht="15.75" customHeight="1" x14ac:dyDescent="0.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spans="1:26" ht="15.75" customHeight="1" x14ac:dyDescent="0.2">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spans="1:26" ht="15.75" customHeight="1" x14ac:dyDescent="0.2">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spans="1:26" ht="15.75" customHeight="1" x14ac:dyDescent="0.2">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spans="1:26" ht="15.75" customHeight="1" x14ac:dyDescent="0.2">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spans="1:26" ht="15.75" customHeight="1" x14ac:dyDescent="0.2">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spans="1:26" ht="15.75" customHeight="1" x14ac:dyDescent="0.2">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spans="1:26" ht="15.75" customHeight="1" x14ac:dyDescent="0.2">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spans="1:26" ht="15.75" customHeight="1" x14ac:dyDescent="0.2">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spans="1:26" ht="15.75" customHeight="1" x14ac:dyDescent="0.2">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spans="1:26" ht="15.75" customHeight="1" x14ac:dyDescent="0.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spans="1:26" ht="15.75" customHeight="1" x14ac:dyDescent="0.2">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spans="1:26" ht="15.75" customHeight="1" x14ac:dyDescent="0.2">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spans="1:26" ht="15.75" customHeight="1" x14ac:dyDescent="0.2">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spans="1:26" ht="15.75" customHeight="1" x14ac:dyDescent="0.2">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spans="1:26" ht="15.75" customHeight="1" x14ac:dyDescent="0.2">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spans="1:26" ht="15.75" customHeight="1" x14ac:dyDescent="0.2">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spans="1:26" ht="15.75" customHeight="1" x14ac:dyDescent="0.2">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spans="1:26" ht="15.75" customHeight="1" x14ac:dyDescent="0.2">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spans="1:26" ht="15.75" customHeight="1" x14ac:dyDescent="0.2">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spans="1:26" ht="15.75" customHeight="1" x14ac:dyDescent="0.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spans="1:26" ht="15.75" customHeight="1" x14ac:dyDescent="0.2">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spans="1:26" ht="15.75" customHeight="1" x14ac:dyDescent="0.2">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spans="1:26" ht="15.75" customHeight="1" x14ac:dyDescent="0.2">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spans="1:26" ht="15.75" customHeight="1" x14ac:dyDescent="0.2">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spans="1:26" ht="15.75" customHeight="1" x14ac:dyDescent="0.2">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spans="1:26" ht="15.75" customHeight="1" x14ac:dyDescent="0.2">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spans="1:26" ht="15.75" customHeight="1" x14ac:dyDescent="0.2">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spans="1:26" ht="15.75" customHeight="1" x14ac:dyDescent="0.2">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spans="1:26" ht="15.75" customHeight="1" x14ac:dyDescent="0.2">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spans="1:26" ht="15.75" customHeight="1" x14ac:dyDescent="0.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spans="1:26" ht="15.75" customHeight="1" x14ac:dyDescent="0.2">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spans="1:26" ht="15.75" customHeight="1" x14ac:dyDescent="0.2">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spans="1:26" ht="15.75" customHeight="1" x14ac:dyDescent="0.2">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spans="1:26" ht="15.75" customHeight="1" x14ac:dyDescent="0.2">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spans="1:26" ht="15.75" customHeight="1" x14ac:dyDescent="0.2">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spans="1:26" ht="15.75" customHeight="1" x14ac:dyDescent="0.2">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spans="1:26" ht="15.75" customHeight="1" x14ac:dyDescent="0.2">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spans="1:26" ht="15.75" customHeight="1" x14ac:dyDescent="0.2">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spans="1:26" ht="15.75" customHeight="1" x14ac:dyDescent="0.2">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spans="1:26" ht="15.75" customHeight="1" x14ac:dyDescent="0.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spans="1:26" ht="15.75" customHeight="1" x14ac:dyDescent="0.2">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spans="1:26" ht="15.75" customHeight="1" x14ac:dyDescent="0.2">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spans="1:26" ht="15.75" customHeight="1" x14ac:dyDescent="0.2">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spans="1:26" ht="15.75" customHeight="1" x14ac:dyDescent="0.2">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spans="1:26" ht="15.75" customHeight="1" x14ac:dyDescent="0.2">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spans="1:26" ht="15.75" customHeight="1" x14ac:dyDescent="0.2">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spans="1:26" ht="15.75" customHeight="1" x14ac:dyDescent="0.2">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spans="1:26" ht="15.75" customHeight="1" x14ac:dyDescent="0.2">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spans="1:26" ht="15.75" customHeight="1" x14ac:dyDescent="0.2">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spans="1:26" ht="15.75" customHeight="1" x14ac:dyDescent="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spans="1:26" ht="15.75" customHeight="1" x14ac:dyDescent="0.2">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spans="1:26" ht="15.75" customHeight="1" x14ac:dyDescent="0.2">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spans="1:26" ht="15.75" customHeight="1" x14ac:dyDescent="0.2">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spans="1:26" ht="15.75" customHeight="1" x14ac:dyDescent="0.2">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spans="1:26" ht="15.75" customHeight="1" x14ac:dyDescent="0.2">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spans="1:26" ht="15.75" customHeight="1" x14ac:dyDescent="0.2">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spans="1:26" ht="15.75" customHeight="1" x14ac:dyDescent="0.2">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spans="1:26" ht="15.75" customHeight="1" x14ac:dyDescent="0.2">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spans="1:26" ht="15.75" customHeight="1" x14ac:dyDescent="0.2">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spans="1:26" ht="15.75" customHeight="1" x14ac:dyDescent="0.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spans="1:26" ht="15.75" customHeight="1" x14ac:dyDescent="0.2">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spans="1:26" ht="15.75" customHeight="1" x14ac:dyDescent="0.2">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spans="1:26" ht="15.75" customHeight="1" x14ac:dyDescent="0.2">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spans="1:26" ht="15.75" customHeight="1" x14ac:dyDescent="0.2">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spans="1:26" ht="15.75" customHeight="1" x14ac:dyDescent="0.2">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spans="1:26" ht="15.75" customHeight="1" x14ac:dyDescent="0.2">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spans="1:26" ht="15.75" customHeight="1" x14ac:dyDescent="0.2">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spans="1:26" ht="15.75" customHeight="1" x14ac:dyDescent="0.2">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spans="1:26" ht="15.75" customHeight="1" x14ac:dyDescent="0.2">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spans="1:26" ht="15.75" customHeight="1" x14ac:dyDescent="0.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spans="1:26" ht="15.75" customHeight="1" x14ac:dyDescent="0.2">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spans="1:26" ht="15.75" customHeight="1" x14ac:dyDescent="0.2">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spans="1:26" ht="15.75" customHeight="1" x14ac:dyDescent="0.2">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spans="1:26" ht="15.75" customHeight="1" x14ac:dyDescent="0.2">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spans="1:26" ht="15.75" customHeight="1" x14ac:dyDescent="0.2">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spans="1:26" ht="15.75" customHeight="1" x14ac:dyDescent="0.2">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spans="1:26" ht="15.75" customHeight="1" x14ac:dyDescent="0.2">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spans="1:26" ht="15.75" customHeight="1" x14ac:dyDescent="0.2">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spans="1:26" ht="15.75" customHeight="1" x14ac:dyDescent="0.2">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spans="1:26" ht="15.75" customHeight="1" x14ac:dyDescent="0.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spans="1:26" ht="15.75" customHeight="1" x14ac:dyDescent="0.2">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spans="1:26" ht="15.75" customHeight="1" x14ac:dyDescent="0.2">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spans="1:26" ht="15.75" customHeight="1" x14ac:dyDescent="0.2">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spans="1:26" ht="15.75" customHeight="1" x14ac:dyDescent="0.2">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spans="1:26" ht="15.75" customHeight="1" x14ac:dyDescent="0.2">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spans="1:26" ht="15.75" customHeight="1" x14ac:dyDescent="0.2">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spans="1:26" ht="15.75" customHeight="1" x14ac:dyDescent="0.2">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spans="1:26" ht="15.75" customHeight="1" x14ac:dyDescent="0.2">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spans="1:26" ht="15.75" customHeight="1" x14ac:dyDescent="0.2">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spans="1:26" ht="15.75" customHeight="1" x14ac:dyDescent="0.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spans="1:26" ht="15.75" customHeight="1" x14ac:dyDescent="0.2">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spans="1:26" ht="15.75" customHeight="1" x14ac:dyDescent="0.2">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spans="1:26" ht="15.75" customHeight="1" x14ac:dyDescent="0.2">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spans="1:26" ht="15.75" customHeight="1" x14ac:dyDescent="0.2">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spans="1:26" ht="15.75" customHeight="1" x14ac:dyDescent="0.2">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spans="1:26" ht="15.75" customHeight="1" x14ac:dyDescent="0.2">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spans="1:26" ht="15.75" customHeight="1" x14ac:dyDescent="0.2">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spans="1:26" ht="15.75" customHeight="1" x14ac:dyDescent="0.2">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spans="1:26" ht="15.75" customHeight="1" x14ac:dyDescent="0.2">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spans="1:26" ht="15.75" customHeight="1" x14ac:dyDescent="0.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spans="1:26" ht="15.75" customHeight="1" x14ac:dyDescent="0.2">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spans="1:26" ht="15.75" customHeight="1" x14ac:dyDescent="0.2">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spans="1:26" ht="15.75" customHeight="1" x14ac:dyDescent="0.2">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spans="1:26" ht="15.75" customHeight="1" x14ac:dyDescent="0.2">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spans="1:26" ht="15.75" customHeight="1" x14ac:dyDescent="0.2">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spans="1:26" ht="15.75" customHeight="1" x14ac:dyDescent="0.2">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spans="1:26" ht="15.75" customHeight="1" x14ac:dyDescent="0.2">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spans="1:26" ht="15.75" customHeight="1" x14ac:dyDescent="0.2">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spans="1:26" ht="15.75" customHeight="1" x14ac:dyDescent="0.2">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spans="1:26" ht="15.75" customHeight="1" x14ac:dyDescent="0.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spans="1:26" ht="15.75" customHeight="1" x14ac:dyDescent="0.2">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spans="1:26" ht="15.75" customHeight="1" x14ac:dyDescent="0.2">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spans="1:26" ht="15.75" customHeight="1" x14ac:dyDescent="0.2">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spans="1:26" ht="15.75" customHeight="1" x14ac:dyDescent="0.2">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spans="1:26" ht="15.75" customHeight="1" x14ac:dyDescent="0.2">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spans="1:26" ht="15.75" customHeight="1" x14ac:dyDescent="0.2">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spans="1:26" ht="15.75" customHeight="1" x14ac:dyDescent="0.2">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spans="1:26" ht="15.75" customHeight="1" x14ac:dyDescent="0.2">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spans="1:26" ht="15.75" customHeight="1" x14ac:dyDescent="0.2">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spans="1:26" ht="15.75" customHeight="1" x14ac:dyDescent="0.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spans="1:26" ht="15.75" customHeight="1" x14ac:dyDescent="0.2">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spans="1:26" ht="15.75" customHeight="1" x14ac:dyDescent="0.2">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spans="1:26" ht="15.75" customHeight="1" x14ac:dyDescent="0.2">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spans="1:26" ht="15.75" customHeight="1" x14ac:dyDescent="0.2">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spans="1:26" ht="15.75" customHeight="1" x14ac:dyDescent="0.2">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spans="1:26" ht="15.75" customHeight="1" x14ac:dyDescent="0.2">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spans="1:26" ht="15.75" customHeight="1" x14ac:dyDescent="0.2">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spans="1:26" ht="15.75" customHeight="1" x14ac:dyDescent="0.2">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spans="1:26" ht="15.75" customHeight="1" x14ac:dyDescent="0.2">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spans="1:26" ht="15.75" customHeight="1" x14ac:dyDescent="0.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spans="1:26" ht="15.75" customHeight="1" x14ac:dyDescent="0.2">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spans="1:26" ht="15.75" customHeight="1" x14ac:dyDescent="0.2">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spans="1:26" ht="15.75" customHeight="1" x14ac:dyDescent="0.2">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spans="1:26" ht="15.75" customHeight="1" x14ac:dyDescent="0.2">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spans="1:26" ht="15.75" customHeight="1" x14ac:dyDescent="0.2">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spans="1:26" ht="15.75" customHeight="1" x14ac:dyDescent="0.2">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spans="1:26" ht="15.75" customHeight="1" x14ac:dyDescent="0.2">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spans="1:26" ht="15.75" customHeight="1" x14ac:dyDescent="0.2">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spans="1:26" ht="15.75" customHeight="1" x14ac:dyDescent="0.2">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spans="1:26" ht="15.75" customHeight="1" x14ac:dyDescent="0.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spans="1:26" ht="15.75" customHeight="1" x14ac:dyDescent="0.2">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spans="1:26" ht="15.75" customHeight="1" x14ac:dyDescent="0.2">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spans="1:26" ht="15.75" customHeight="1" x14ac:dyDescent="0.2">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spans="1:26" ht="15.75" customHeight="1" x14ac:dyDescent="0.2">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spans="1:26" ht="15.75" customHeight="1" x14ac:dyDescent="0.2">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spans="1:26" ht="15.75" customHeight="1" x14ac:dyDescent="0.2">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spans="1:26" ht="15.75" customHeight="1" x14ac:dyDescent="0.2">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spans="1:26" ht="15.75" customHeight="1" x14ac:dyDescent="0.2">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spans="1:26" ht="15.75" customHeight="1" x14ac:dyDescent="0.2">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spans="1:26" ht="15.75" customHeight="1" x14ac:dyDescent="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5.75" customHeight="1" x14ac:dyDescent="0.2">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5.75" customHeight="1" x14ac:dyDescent="0.2">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5.75" customHeight="1" x14ac:dyDescent="0.2">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5.75" customHeight="1" x14ac:dyDescent="0.2">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5.75" customHeight="1" x14ac:dyDescent="0.2">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5.75" customHeight="1" x14ac:dyDescent="0.2">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5.75" customHeight="1" x14ac:dyDescent="0.2">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5.75" customHeight="1" x14ac:dyDescent="0.2">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5.75" customHeight="1" x14ac:dyDescent="0.2">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5.75" customHeight="1" x14ac:dyDescent="0.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5.75" customHeight="1" x14ac:dyDescent="0.2">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5.75" customHeight="1" x14ac:dyDescent="0.2">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5.75" customHeight="1" x14ac:dyDescent="0.2">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5.75" customHeight="1" x14ac:dyDescent="0.2">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5.75" customHeight="1" x14ac:dyDescent="0.2">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5.75" customHeight="1" x14ac:dyDescent="0.2">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5.75" customHeight="1" x14ac:dyDescent="0.2">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5.75" customHeight="1" x14ac:dyDescent="0.2">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5.75" customHeight="1" x14ac:dyDescent="0.2">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5.75" customHeight="1" x14ac:dyDescent="0.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5.75" customHeight="1" x14ac:dyDescent="0.2">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5.75" customHeight="1" x14ac:dyDescent="0.2">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5.75" customHeight="1" x14ac:dyDescent="0.2">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5.75" customHeight="1" x14ac:dyDescent="0.2">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5.75" customHeight="1" x14ac:dyDescent="0.2">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5.75" customHeight="1" x14ac:dyDescent="0.2">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5.75" customHeight="1" x14ac:dyDescent="0.2">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5.75" customHeight="1" x14ac:dyDescent="0.2">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5.75" customHeight="1" x14ac:dyDescent="0.2">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5.75" customHeight="1" x14ac:dyDescent="0.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5.75" customHeight="1" x14ac:dyDescent="0.2">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5.75" customHeight="1" x14ac:dyDescent="0.2">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5.75" customHeight="1" x14ac:dyDescent="0.2">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5.75" customHeight="1" x14ac:dyDescent="0.2">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5.75" customHeight="1" x14ac:dyDescent="0.2">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5.75" customHeight="1" x14ac:dyDescent="0.2">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5.75" customHeight="1" x14ac:dyDescent="0.2">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5.75" customHeight="1" x14ac:dyDescent="0.2">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5.75" customHeight="1" x14ac:dyDescent="0.2">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5.75" customHeight="1" x14ac:dyDescent="0.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5.75" customHeight="1" x14ac:dyDescent="0.2">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5.75" customHeight="1" x14ac:dyDescent="0.2">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5.75" customHeight="1" x14ac:dyDescent="0.2">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5.75" customHeight="1" x14ac:dyDescent="0.2">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5.75" customHeight="1" x14ac:dyDescent="0.2">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5.75" customHeight="1" x14ac:dyDescent="0.2">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5.75" customHeight="1" x14ac:dyDescent="0.2">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5.75" customHeight="1" x14ac:dyDescent="0.2">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5.75" customHeight="1" x14ac:dyDescent="0.2">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5.75" customHeight="1" x14ac:dyDescent="0.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5.75" customHeight="1" x14ac:dyDescent="0.2">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5.75" customHeight="1" x14ac:dyDescent="0.2">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5.75" customHeight="1" x14ac:dyDescent="0.2">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5.75" customHeight="1" x14ac:dyDescent="0.2">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5.75" customHeight="1" x14ac:dyDescent="0.2">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5.75" customHeight="1" x14ac:dyDescent="0.2">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5.75" customHeight="1" x14ac:dyDescent="0.2">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5.75" customHeight="1" x14ac:dyDescent="0.2">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5.75" customHeight="1" x14ac:dyDescent="0.2">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5.75" customHeight="1" x14ac:dyDescent="0.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5.75" customHeight="1" x14ac:dyDescent="0.2">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5.75" customHeight="1" x14ac:dyDescent="0.2">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5.75" customHeight="1" x14ac:dyDescent="0.2">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5.75" customHeight="1" x14ac:dyDescent="0.2">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5.75" customHeight="1" x14ac:dyDescent="0.2">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5.75" customHeight="1" x14ac:dyDescent="0.2">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5.75" customHeight="1" x14ac:dyDescent="0.2">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5.75" customHeight="1" x14ac:dyDescent="0.2">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5.75" customHeight="1" x14ac:dyDescent="0.2">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5.75" customHeight="1" x14ac:dyDescent="0.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5.75" customHeight="1" x14ac:dyDescent="0.2">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5.75" customHeight="1" x14ac:dyDescent="0.2">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5.75" customHeight="1" x14ac:dyDescent="0.2">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5.75" customHeight="1" x14ac:dyDescent="0.2">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5.75" customHeight="1" x14ac:dyDescent="0.2">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5.75" customHeight="1" x14ac:dyDescent="0.2">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5.75" customHeight="1" x14ac:dyDescent="0.2">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5.75" customHeight="1" x14ac:dyDescent="0.2">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5.75" customHeight="1" x14ac:dyDescent="0.2">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5.75" customHeight="1" x14ac:dyDescent="0.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5.75" customHeight="1" x14ac:dyDescent="0.2">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5.75" customHeight="1" x14ac:dyDescent="0.2">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5.75" customHeight="1" x14ac:dyDescent="0.2">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5.75" customHeight="1" x14ac:dyDescent="0.2">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5.75" customHeight="1" x14ac:dyDescent="0.2">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5.75" customHeight="1" x14ac:dyDescent="0.2">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5.75" customHeight="1" x14ac:dyDescent="0.2">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5.75" customHeight="1" x14ac:dyDescent="0.2">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5.75" customHeight="1" x14ac:dyDescent="0.2">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5.75" customHeight="1" x14ac:dyDescent="0.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5.75" customHeight="1" x14ac:dyDescent="0.2">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5.75" customHeight="1" x14ac:dyDescent="0.2">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5.75" customHeight="1" x14ac:dyDescent="0.2">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5.75" customHeight="1" x14ac:dyDescent="0.2">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5.75" customHeight="1" x14ac:dyDescent="0.2">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5.75" customHeight="1" x14ac:dyDescent="0.2">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5.75" customHeight="1" x14ac:dyDescent="0.2">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5.75" customHeight="1" x14ac:dyDescent="0.2">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5.75" customHeight="1" x14ac:dyDescent="0.2">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5.75" customHeight="1" x14ac:dyDescent="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5.75" customHeight="1" x14ac:dyDescent="0.2">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5.75" customHeight="1" x14ac:dyDescent="0.2">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5.75" customHeight="1" x14ac:dyDescent="0.2">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5.75" customHeight="1" x14ac:dyDescent="0.2">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5.75" customHeight="1" x14ac:dyDescent="0.2">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5.75" customHeight="1" x14ac:dyDescent="0.2">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5.75" customHeight="1" x14ac:dyDescent="0.2">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5.75" customHeight="1" x14ac:dyDescent="0.2">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5.75" customHeight="1" x14ac:dyDescent="0.2">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5.75" customHeight="1" x14ac:dyDescent="0.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5.75" customHeight="1" x14ac:dyDescent="0.2">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5.75" customHeight="1" x14ac:dyDescent="0.2">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5.75" customHeight="1" x14ac:dyDescent="0.2">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5.75" customHeight="1" x14ac:dyDescent="0.2">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5.75" customHeight="1" x14ac:dyDescent="0.2">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5.75" customHeight="1" x14ac:dyDescent="0.2">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5.75" customHeight="1" x14ac:dyDescent="0.2">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5.75" customHeight="1" x14ac:dyDescent="0.2">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5.75" customHeight="1" x14ac:dyDescent="0.2">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5.75" customHeight="1" x14ac:dyDescent="0.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5.75" customHeight="1" x14ac:dyDescent="0.2">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5.75" customHeight="1" x14ac:dyDescent="0.2">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5.75" customHeight="1" x14ac:dyDescent="0.2">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5.75" customHeight="1" x14ac:dyDescent="0.2">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5.75" customHeight="1" x14ac:dyDescent="0.2">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5.75" customHeight="1" x14ac:dyDescent="0.2">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5.75" customHeight="1" x14ac:dyDescent="0.2">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5.75" customHeight="1" x14ac:dyDescent="0.2">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5.75" customHeight="1" x14ac:dyDescent="0.2">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5.75" customHeight="1" x14ac:dyDescent="0.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5.75" customHeight="1" x14ac:dyDescent="0.2">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5.75" customHeight="1" x14ac:dyDescent="0.2">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5.75" customHeight="1" x14ac:dyDescent="0.2">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5.75" customHeight="1" x14ac:dyDescent="0.2">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5.75" customHeight="1" x14ac:dyDescent="0.2">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5.75" customHeight="1" x14ac:dyDescent="0.2">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5.75" customHeight="1" x14ac:dyDescent="0.2">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5.75" customHeight="1" x14ac:dyDescent="0.2">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5.75" customHeight="1" x14ac:dyDescent="0.2">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5.75" customHeight="1" x14ac:dyDescent="0.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5.75" customHeight="1" x14ac:dyDescent="0.2">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5.75" customHeight="1" x14ac:dyDescent="0.2">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5.75" customHeight="1" x14ac:dyDescent="0.2">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5.75" customHeight="1" x14ac:dyDescent="0.2">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5.75" customHeight="1" x14ac:dyDescent="0.2">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5.75" customHeight="1" x14ac:dyDescent="0.2">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5.75" customHeight="1" x14ac:dyDescent="0.2">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5.75" customHeight="1" x14ac:dyDescent="0.2">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5.75" customHeight="1" x14ac:dyDescent="0.2">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5.75" customHeight="1" x14ac:dyDescent="0.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5.75" customHeight="1" x14ac:dyDescent="0.2">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5.75" customHeight="1" x14ac:dyDescent="0.2">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5.75" customHeight="1" x14ac:dyDescent="0.2">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5.75" customHeight="1" x14ac:dyDescent="0.2">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5.75" customHeight="1" x14ac:dyDescent="0.2">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5.75" customHeight="1" x14ac:dyDescent="0.2">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5.75" customHeight="1" x14ac:dyDescent="0.2">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5.75" customHeight="1" x14ac:dyDescent="0.2">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5.75" customHeight="1" x14ac:dyDescent="0.2">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5.75" customHeight="1" x14ac:dyDescent="0.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5.75" customHeight="1" x14ac:dyDescent="0.2">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5.75" customHeight="1" x14ac:dyDescent="0.2">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5.75" customHeight="1" x14ac:dyDescent="0.2">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5.75" customHeight="1" x14ac:dyDescent="0.2">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5.75" customHeight="1" x14ac:dyDescent="0.2">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5.75" customHeight="1" x14ac:dyDescent="0.2">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5.75" customHeight="1" x14ac:dyDescent="0.2">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5.75" customHeight="1" x14ac:dyDescent="0.2">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5.75" customHeight="1" x14ac:dyDescent="0.2">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5.75" customHeight="1" x14ac:dyDescent="0.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5.75" customHeight="1" x14ac:dyDescent="0.2">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5.75" customHeight="1" x14ac:dyDescent="0.2">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5.75" customHeight="1" x14ac:dyDescent="0.2">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5.75" customHeight="1" x14ac:dyDescent="0.2">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5.75" customHeight="1" x14ac:dyDescent="0.2">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5.75" customHeight="1" x14ac:dyDescent="0.2">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5.75" customHeight="1" x14ac:dyDescent="0.2">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5.75" customHeight="1" x14ac:dyDescent="0.2">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5.75" customHeight="1" x14ac:dyDescent="0.2">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5.75" customHeight="1" x14ac:dyDescent="0.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5.75" customHeight="1" x14ac:dyDescent="0.2">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5.75" customHeight="1" x14ac:dyDescent="0.2">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5.75" customHeight="1" x14ac:dyDescent="0.2">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5.75" customHeight="1" x14ac:dyDescent="0.2">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5.75" customHeight="1" x14ac:dyDescent="0.2">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5.75" customHeight="1" x14ac:dyDescent="0.2">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5.75" customHeight="1" x14ac:dyDescent="0.2">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5.75" customHeight="1" x14ac:dyDescent="0.2">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5.75" customHeight="1" x14ac:dyDescent="0.2">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5.75" customHeight="1" x14ac:dyDescent="0.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5.75" customHeight="1" x14ac:dyDescent="0.2">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5.75" customHeight="1" x14ac:dyDescent="0.2">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5.75" customHeight="1" x14ac:dyDescent="0.2">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5.75" customHeight="1" x14ac:dyDescent="0.2">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5.75" customHeight="1" x14ac:dyDescent="0.2">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5.75" customHeight="1" x14ac:dyDescent="0.2">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5.75" customHeight="1" x14ac:dyDescent="0.2">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5.75" customHeight="1" x14ac:dyDescent="0.2">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5.75" customHeight="1" x14ac:dyDescent="0.2">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5.75" customHeight="1" x14ac:dyDescent="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5.75" customHeight="1" x14ac:dyDescent="0.2">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5.75" customHeight="1" x14ac:dyDescent="0.2">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5.75" customHeight="1" x14ac:dyDescent="0.2">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5.75" customHeight="1" x14ac:dyDescent="0.2">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5.75" customHeight="1" x14ac:dyDescent="0.2">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5.75" customHeight="1" x14ac:dyDescent="0.2">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5.75" customHeight="1" x14ac:dyDescent="0.2">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5.75" customHeight="1" x14ac:dyDescent="0.2">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5.75" customHeight="1" x14ac:dyDescent="0.2">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5.75" customHeight="1" x14ac:dyDescent="0.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5.75" customHeight="1" x14ac:dyDescent="0.2">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5.75" customHeight="1" x14ac:dyDescent="0.2">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5.75" customHeight="1" x14ac:dyDescent="0.2">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5.75" customHeight="1" x14ac:dyDescent="0.2">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5.75" customHeight="1" x14ac:dyDescent="0.2">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5.75" customHeight="1" x14ac:dyDescent="0.2">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5.75" customHeight="1" x14ac:dyDescent="0.2">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5.75" customHeight="1" x14ac:dyDescent="0.2">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5.75" customHeight="1" x14ac:dyDescent="0.2">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5.75" customHeight="1" x14ac:dyDescent="0.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5.75" customHeight="1" x14ac:dyDescent="0.2">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5.75" customHeight="1" x14ac:dyDescent="0.2">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5.75" customHeight="1" x14ac:dyDescent="0.2">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5.75" customHeight="1" x14ac:dyDescent="0.2">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5.75" customHeight="1" x14ac:dyDescent="0.2">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5.75" customHeight="1" x14ac:dyDescent="0.2">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5.75" customHeight="1" x14ac:dyDescent="0.2">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5.75" customHeight="1" x14ac:dyDescent="0.2">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5.75" customHeight="1" x14ac:dyDescent="0.2">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5.75" customHeight="1" x14ac:dyDescent="0.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5.75" customHeight="1" x14ac:dyDescent="0.2">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5.75" customHeight="1" x14ac:dyDescent="0.2">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5.75" customHeight="1" x14ac:dyDescent="0.2">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5.75" customHeight="1" x14ac:dyDescent="0.2">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5.75" customHeight="1" x14ac:dyDescent="0.2">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5.75" customHeight="1" x14ac:dyDescent="0.2">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5.75" customHeight="1" x14ac:dyDescent="0.2">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5.75" customHeight="1" x14ac:dyDescent="0.2">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5.75" customHeight="1" x14ac:dyDescent="0.2">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5.75" customHeight="1" x14ac:dyDescent="0.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5.75" customHeight="1" x14ac:dyDescent="0.2">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5.75" customHeight="1" x14ac:dyDescent="0.2">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5.75" customHeight="1" x14ac:dyDescent="0.2">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5.75" customHeight="1" x14ac:dyDescent="0.2">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5.75" customHeight="1" x14ac:dyDescent="0.2">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5.75" customHeight="1" x14ac:dyDescent="0.2">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5.75" customHeight="1" x14ac:dyDescent="0.2">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5.75" customHeight="1" x14ac:dyDescent="0.2">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5.75" customHeight="1" x14ac:dyDescent="0.2">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5.75" customHeight="1" x14ac:dyDescent="0.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5.75" customHeight="1" x14ac:dyDescent="0.2">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5.75" customHeight="1" x14ac:dyDescent="0.2">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5.75" customHeight="1" x14ac:dyDescent="0.2">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5.75" customHeight="1" x14ac:dyDescent="0.2">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5.75" customHeight="1" x14ac:dyDescent="0.2">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5.75" customHeight="1" x14ac:dyDescent="0.2">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5.75" customHeight="1" x14ac:dyDescent="0.2">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5.75" customHeight="1" x14ac:dyDescent="0.2">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5.75" customHeight="1" x14ac:dyDescent="0.2">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5.75" customHeight="1" x14ac:dyDescent="0.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5.75" customHeight="1" x14ac:dyDescent="0.2">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5.75" customHeight="1" x14ac:dyDescent="0.2">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5.75" customHeight="1" x14ac:dyDescent="0.2">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5.75" customHeight="1" x14ac:dyDescent="0.2">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5.75" customHeight="1" x14ac:dyDescent="0.2">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5.75" customHeight="1" x14ac:dyDescent="0.2">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5.75" customHeight="1" x14ac:dyDescent="0.2">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5.75" customHeight="1" x14ac:dyDescent="0.2">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5.75" customHeight="1" x14ac:dyDescent="0.2">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5.75" customHeight="1" x14ac:dyDescent="0.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5.75" customHeight="1" x14ac:dyDescent="0.2">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5.75" customHeight="1" x14ac:dyDescent="0.2">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5.75" customHeight="1" x14ac:dyDescent="0.2">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5.75" customHeight="1" x14ac:dyDescent="0.2">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5.75" customHeight="1" x14ac:dyDescent="0.2">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5.75" customHeight="1" x14ac:dyDescent="0.2">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5.75" customHeight="1" x14ac:dyDescent="0.2">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5.75" customHeight="1" x14ac:dyDescent="0.2">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5.75" customHeight="1" x14ac:dyDescent="0.2">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5.75" customHeight="1" x14ac:dyDescent="0.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5.75" customHeight="1" x14ac:dyDescent="0.2">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5.75" customHeight="1" x14ac:dyDescent="0.2">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5.75" customHeight="1" x14ac:dyDescent="0.2">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5.75" customHeight="1" x14ac:dyDescent="0.2">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5.75" customHeight="1" x14ac:dyDescent="0.2">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5.75" customHeight="1" x14ac:dyDescent="0.2">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5.75" customHeight="1" x14ac:dyDescent="0.2">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5.75" customHeight="1" x14ac:dyDescent="0.2">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5.75" customHeight="1" x14ac:dyDescent="0.2">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5.75" customHeight="1" x14ac:dyDescent="0.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5.75" customHeight="1" x14ac:dyDescent="0.2">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5.75" customHeight="1" x14ac:dyDescent="0.2">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5.75" customHeight="1" x14ac:dyDescent="0.2">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5.75" customHeight="1" x14ac:dyDescent="0.2">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5.75" customHeight="1" x14ac:dyDescent="0.2">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5.75" customHeight="1" x14ac:dyDescent="0.2">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5.75" customHeight="1" x14ac:dyDescent="0.2">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5.75" customHeight="1" x14ac:dyDescent="0.2">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5.75" customHeight="1" x14ac:dyDescent="0.2">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5.75" customHeight="1" x14ac:dyDescent="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5.75" customHeight="1" x14ac:dyDescent="0.2">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5.75" customHeight="1" x14ac:dyDescent="0.2">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5.75" customHeight="1" x14ac:dyDescent="0.2">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5.75" customHeight="1" x14ac:dyDescent="0.2">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5.75" customHeight="1" x14ac:dyDescent="0.2">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5.75" customHeight="1" x14ac:dyDescent="0.2">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5.75" customHeight="1" x14ac:dyDescent="0.2">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5.75" customHeight="1" x14ac:dyDescent="0.2">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5.75" customHeight="1" x14ac:dyDescent="0.2">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5.75" customHeight="1" x14ac:dyDescent="0.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5.75" customHeight="1" x14ac:dyDescent="0.2">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5.75" customHeight="1" x14ac:dyDescent="0.2">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5.75" customHeight="1" x14ac:dyDescent="0.2">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5.75" customHeight="1" x14ac:dyDescent="0.2">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5.75" customHeight="1" x14ac:dyDescent="0.2">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5.75" customHeight="1" x14ac:dyDescent="0.2">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5.75" customHeight="1" x14ac:dyDescent="0.2">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5.75" customHeight="1" x14ac:dyDescent="0.2">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5.75" customHeight="1" x14ac:dyDescent="0.2">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5.75" customHeight="1" x14ac:dyDescent="0.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5.75" customHeight="1" x14ac:dyDescent="0.2">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5.75" customHeight="1" x14ac:dyDescent="0.2">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5.75" customHeight="1" x14ac:dyDescent="0.2">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5.75" customHeight="1" x14ac:dyDescent="0.2">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5.75" customHeight="1" x14ac:dyDescent="0.2">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5.75" customHeight="1" x14ac:dyDescent="0.2">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5.75" customHeight="1" x14ac:dyDescent="0.2">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5.75" customHeight="1" x14ac:dyDescent="0.2">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5.75" customHeight="1" x14ac:dyDescent="0.2">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5.75" customHeight="1" x14ac:dyDescent="0.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5.75" customHeight="1" x14ac:dyDescent="0.2">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5.75" customHeight="1" x14ac:dyDescent="0.2">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5.75" customHeight="1" x14ac:dyDescent="0.2">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5.75" customHeight="1" x14ac:dyDescent="0.2">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5.75" customHeight="1" x14ac:dyDescent="0.2">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5.75" customHeight="1" x14ac:dyDescent="0.2">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5.75" customHeight="1" x14ac:dyDescent="0.2">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5.75" customHeight="1" x14ac:dyDescent="0.2">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5.75" customHeight="1" x14ac:dyDescent="0.2">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5.75" customHeight="1" x14ac:dyDescent="0.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5.75" customHeight="1" x14ac:dyDescent="0.2">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5.75" customHeight="1" x14ac:dyDescent="0.2">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5.75" customHeight="1" x14ac:dyDescent="0.2">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5.75" customHeight="1" x14ac:dyDescent="0.2">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5.75" customHeight="1" x14ac:dyDescent="0.2">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5.75" customHeight="1" x14ac:dyDescent="0.2">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5.75" customHeight="1" x14ac:dyDescent="0.2">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5.75" customHeight="1" x14ac:dyDescent="0.2">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5.75" customHeight="1" x14ac:dyDescent="0.2">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5.75" customHeight="1" x14ac:dyDescent="0.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5.75" customHeight="1" x14ac:dyDescent="0.2">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5.75" customHeight="1" x14ac:dyDescent="0.2">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5.75" customHeight="1" x14ac:dyDescent="0.2">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5.75" customHeight="1" x14ac:dyDescent="0.2">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5.75" customHeight="1" x14ac:dyDescent="0.2">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5.75" customHeight="1" x14ac:dyDescent="0.2">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5.75" customHeight="1" x14ac:dyDescent="0.2">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5.75" customHeight="1" x14ac:dyDescent="0.2">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5.75" customHeight="1" x14ac:dyDescent="0.2">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5.75" customHeight="1" x14ac:dyDescent="0.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5.75" customHeight="1" x14ac:dyDescent="0.2">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5.75" customHeight="1" x14ac:dyDescent="0.2">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5.75" customHeight="1" x14ac:dyDescent="0.2">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5.75" customHeight="1" x14ac:dyDescent="0.2">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5.75" customHeight="1" x14ac:dyDescent="0.2">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5.75" customHeight="1" x14ac:dyDescent="0.2">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5.75" customHeight="1" x14ac:dyDescent="0.2">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5.75" customHeight="1" x14ac:dyDescent="0.2">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5.75" customHeight="1" x14ac:dyDescent="0.2">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5.75" customHeight="1" x14ac:dyDescent="0.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5.75" customHeight="1" x14ac:dyDescent="0.2">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5.75" customHeight="1" x14ac:dyDescent="0.2">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5.75" customHeight="1" x14ac:dyDescent="0.2">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5.75" customHeight="1" x14ac:dyDescent="0.2">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5.75" customHeight="1" x14ac:dyDescent="0.2">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5.75" customHeight="1" x14ac:dyDescent="0.2">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5.75" customHeight="1" x14ac:dyDescent="0.2">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5.75" customHeight="1" x14ac:dyDescent="0.2">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5.75" customHeight="1" x14ac:dyDescent="0.2">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5.75" customHeight="1" x14ac:dyDescent="0.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5.75" customHeight="1" x14ac:dyDescent="0.2">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5.75" customHeight="1" x14ac:dyDescent="0.2">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5.75" customHeight="1" x14ac:dyDescent="0.2">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5.75" customHeight="1" x14ac:dyDescent="0.2">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5.75" customHeight="1" x14ac:dyDescent="0.2">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5.75" customHeight="1" x14ac:dyDescent="0.2">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5.75" customHeight="1" x14ac:dyDescent="0.2">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5.75" customHeight="1" x14ac:dyDescent="0.2">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5.75" customHeight="1" x14ac:dyDescent="0.2">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5.75" customHeight="1" x14ac:dyDescent="0.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5.75" customHeight="1" x14ac:dyDescent="0.2">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5.75" customHeight="1" x14ac:dyDescent="0.2">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5.75" customHeight="1" x14ac:dyDescent="0.2">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5.75" customHeight="1" x14ac:dyDescent="0.2">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5.75" customHeight="1" x14ac:dyDescent="0.2">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5.75" customHeight="1" x14ac:dyDescent="0.2">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5.75" customHeight="1" x14ac:dyDescent="0.2">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mergeCells count="6">
    <mergeCell ref="B3:C3"/>
    <mergeCell ref="D3:F3"/>
    <mergeCell ref="B4:C4"/>
    <mergeCell ref="D4:F4"/>
    <mergeCell ref="B5:C5"/>
    <mergeCell ref="D5:F5"/>
  </mergeCell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986"/>
  <sheetViews>
    <sheetView zoomScale="85" zoomScaleNormal="85" workbookViewId="0">
      <pane xSplit="1" ySplit="8" topLeftCell="B34" activePane="bottomRight" state="frozen"/>
      <selection pane="topRight" activeCell="B1" sqref="B1"/>
      <selection pane="bottomLeft" activeCell="A9" sqref="A9"/>
      <selection pane="bottomRight" activeCell="H38" sqref="H38:H42"/>
    </sheetView>
  </sheetViews>
  <sheetFormatPr defaultColWidth="12.625" defaultRowHeight="13.5" x14ac:dyDescent="0.15"/>
  <cols>
    <col min="1" max="1" width="12.75" customWidth="1"/>
    <col min="2" max="2" width="23.875" bestFit="1" customWidth="1"/>
    <col min="3" max="3" width="22.75" customWidth="1"/>
    <col min="4" max="4" width="20.25" customWidth="1"/>
    <col min="5" max="5" width="24.6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COUNTIF($A$10:$A$852, "TC*")</f>
        <v>33</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55</v>
      </c>
      <c r="D3" s="50"/>
      <c r="E3" s="50"/>
      <c r="F3" s="50"/>
      <c r="G3" s="63" t="s">
        <v>25</v>
      </c>
      <c r="H3" s="64">
        <f>(COUNTIF(H10:H44,"Pass"))</f>
        <v>8</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(COUNTIF(H10:H45,"Fail"))</f>
        <v>2</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(COUNTIF(H10:H46,"Untest"))</f>
        <v>23</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24.24%</v>
      </c>
      <c r="D6" s="50"/>
      <c r="E6" s="50"/>
      <c r="F6" s="50"/>
      <c r="G6" s="84" t="s">
        <v>30</v>
      </c>
      <c r="H6" s="64">
        <f>(COUNTIF(H10:H47,"N/A"))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14" t="s">
        <v>31</v>
      </c>
      <c r="B8" s="111" t="s">
        <v>32</v>
      </c>
      <c r="C8" s="110" t="s">
        <v>21</v>
      </c>
      <c r="D8" s="111" t="s">
        <v>14</v>
      </c>
      <c r="E8" s="110" t="s">
        <v>33</v>
      </c>
      <c r="F8" s="111" t="s">
        <v>34</v>
      </c>
      <c r="G8" s="110" t="s">
        <v>35</v>
      </c>
      <c r="H8" s="111" t="s">
        <v>64</v>
      </c>
      <c r="I8" s="110" t="s">
        <v>36</v>
      </c>
      <c r="J8" s="58"/>
      <c r="K8" s="58"/>
      <c r="L8" s="58"/>
      <c r="M8" s="58"/>
      <c r="N8" s="58"/>
      <c r="O8" s="58"/>
      <c r="P8" s="58"/>
      <c r="Q8" s="58"/>
      <c r="R8" s="58"/>
      <c r="S8" s="58"/>
      <c r="T8" s="58"/>
      <c r="U8" s="58"/>
      <c r="V8" s="58"/>
      <c r="W8" s="58"/>
      <c r="X8" s="58"/>
      <c r="Y8" s="58"/>
      <c r="Z8" s="58"/>
      <c r="AA8" s="49"/>
      <c r="AB8" s="49"/>
    </row>
    <row r="9" spans="1:28" ht="15" customHeight="1" x14ac:dyDescent="0.2">
      <c r="A9" s="172" t="s">
        <v>85</v>
      </c>
      <c r="B9" s="173"/>
      <c r="C9" s="173"/>
      <c r="D9" s="173"/>
      <c r="E9" s="173"/>
      <c r="F9" s="173"/>
      <c r="G9" s="173"/>
      <c r="H9" s="173"/>
      <c r="I9" s="142"/>
      <c r="J9" s="86"/>
      <c r="K9" s="86"/>
      <c r="L9" s="86"/>
      <c r="M9" s="86"/>
      <c r="N9" s="86"/>
      <c r="O9" s="86"/>
      <c r="P9" s="86"/>
      <c r="Q9" s="86"/>
      <c r="R9" s="86"/>
      <c r="S9" s="86"/>
      <c r="T9" s="86"/>
      <c r="U9" s="86"/>
      <c r="V9" s="86"/>
      <c r="W9" s="86"/>
      <c r="X9" s="86"/>
      <c r="Y9" s="86"/>
      <c r="Z9" s="86"/>
      <c r="AA9" s="49"/>
      <c r="AB9" s="49"/>
    </row>
    <row r="10" spans="1:28" ht="85.5" x14ac:dyDescent="0.2">
      <c r="A10" s="102" t="s">
        <v>68</v>
      </c>
      <c r="B10" s="102" t="s">
        <v>286</v>
      </c>
      <c r="C10" s="102" t="s">
        <v>1051</v>
      </c>
      <c r="D10" s="102" t="s">
        <v>1057</v>
      </c>
      <c r="E10" s="102" t="s">
        <v>314</v>
      </c>
      <c r="F10" s="102" t="s">
        <v>369</v>
      </c>
      <c r="G10" s="91"/>
      <c r="H10" s="102" t="s">
        <v>27</v>
      </c>
      <c r="I10" s="92"/>
      <c r="J10" s="133"/>
      <c r="K10" s="8"/>
      <c r="L10" s="8"/>
      <c r="M10" s="8"/>
      <c r="N10" s="8"/>
      <c r="O10" s="8"/>
      <c r="P10" s="8"/>
      <c r="Q10" s="8"/>
      <c r="R10" s="8"/>
      <c r="S10" s="8"/>
      <c r="T10" s="8"/>
      <c r="U10" s="8"/>
      <c r="V10" s="8"/>
      <c r="W10" s="8"/>
      <c r="X10" s="8"/>
      <c r="Y10" s="8"/>
      <c r="Z10" s="49"/>
      <c r="AA10" s="49"/>
    </row>
    <row r="11" spans="1:28" ht="42.75" x14ac:dyDescent="0.2">
      <c r="A11" s="102" t="s">
        <v>71</v>
      </c>
      <c r="B11" s="102" t="s">
        <v>153</v>
      </c>
      <c r="C11" s="102" t="s">
        <v>1051</v>
      </c>
      <c r="D11" s="102" t="s">
        <v>1058</v>
      </c>
      <c r="E11" s="102" t="s">
        <v>358</v>
      </c>
      <c r="F11" s="102" t="s">
        <v>370</v>
      </c>
      <c r="G11" s="91"/>
      <c r="H11" s="102" t="s">
        <v>25</v>
      </c>
      <c r="I11" s="92"/>
      <c r="J11" s="8"/>
      <c r="K11" s="8"/>
      <c r="L11" s="8"/>
      <c r="M11" s="8"/>
      <c r="N11" s="8"/>
      <c r="O11" s="8"/>
      <c r="P11" s="8"/>
      <c r="Q11" s="8"/>
      <c r="R11" s="8"/>
      <c r="S11" s="8"/>
      <c r="T11" s="8"/>
      <c r="U11" s="8"/>
      <c r="V11" s="8"/>
      <c r="W11" s="8"/>
      <c r="X11" s="8"/>
      <c r="Y11" s="8"/>
      <c r="Z11" s="49"/>
      <c r="AA11" s="49"/>
    </row>
    <row r="12" spans="1:28" ht="42.75" x14ac:dyDescent="0.2">
      <c r="A12" s="102" t="s">
        <v>72</v>
      </c>
      <c r="B12" s="102" t="s">
        <v>359</v>
      </c>
      <c r="C12" s="102" t="s">
        <v>1051</v>
      </c>
      <c r="D12" s="102" t="s">
        <v>1059</v>
      </c>
      <c r="E12" s="102" t="s">
        <v>360</v>
      </c>
      <c r="F12" s="102" t="s">
        <v>370</v>
      </c>
      <c r="G12" s="91"/>
      <c r="H12" s="102" t="s">
        <v>27</v>
      </c>
      <c r="I12" s="92"/>
      <c r="J12" s="133"/>
      <c r="K12" s="8"/>
      <c r="L12" s="8"/>
      <c r="M12" s="8"/>
      <c r="N12" s="8"/>
      <c r="O12" s="8"/>
      <c r="P12" s="8"/>
      <c r="Q12" s="8"/>
      <c r="R12" s="8"/>
      <c r="S12" s="8"/>
      <c r="T12" s="8"/>
      <c r="U12" s="8"/>
      <c r="V12" s="8"/>
      <c r="W12" s="8"/>
      <c r="X12" s="8"/>
      <c r="Y12" s="8"/>
      <c r="Z12" s="49"/>
      <c r="AA12" s="49"/>
    </row>
    <row r="13" spans="1:28" ht="42.75" x14ac:dyDescent="0.2">
      <c r="A13" s="102" t="s">
        <v>73</v>
      </c>
      <c r="B13" s="102" t="s">
        <v>287</v>
      </c>
      <c r="C13" s="102" t="s">
        <v>1051</v>
      </c>
      <c r="D13" s="102" t="s">
        <v>1060</v>
      </c>
      <c r="E13" s="102" t="s">
        <v>315</v>
      </c>
      <c r="F13" s="102" t="s">
        <v>371</v>
      </c>
      <c r="G13" s="91"/>
      <c r="H13" s="102" t="s">
        <v>25</v>
      </c>
      <c r="I13" s="92"/>
      <c r="J13" s="8"/>
      <c r="K13" s="8"/>
      <c r="L13" s="8"/>
      <c r="M13" s="8"/>
      <c r="N13" s="8"/>
      <c r="O13" s="8"/>
      <c r="P13" s="8"/>
      <c r="Q13" s="8"/>
      <c r="R13" s="8"/>
      <c r="S13" s="8"/>
      <c r="T13" s="8"/>
      <c r="U13" s="8"/>
      <c r="V13" s="8"/>
      <c r="W13" s="8"/>
      <c r="X13" s="49"/>
      <c r="Y13" s="49"/>
      <c r="Z13" s="49"/>
      <c r="AA13" s="49"/>
    </row>
    <row r="14" spans="1:28" ht="42.75" x14ac:dyDescent="0.2">
      <c r="A14" s="102" t="s">
        <v>74</v>
      </c>
      <c r="B14" s="102" t="s">
        <v>365</v>
      </c>
      <c r="C14" s="102" t="s">
        <v>1051</v>
      </c>
      <c r="D14" s="102" t="s">
        <v>1061</v>
      </c>
      <c r="E14" s="102" t="s">
        <v>316</v>
      </c>
      <c r="F14" s="102" t="s">
        <v>372</v>
      </c>
      <c r="G14" s="91"/>
      <c r="H14" s="102" t="s">
        <v>28</v>
      </c>
      <c r="I14" s="92"/>
      <c r="J14" s="8"/>
      <c r="K14" s="8"/>
      <c r="L14" s="8"/>
      <c r="M14" s="8"/>
      <c r="N14" s="8"/>
      <c r="O14" s="8"/>
      <c r="P14" s="8"/>
      <c r="Q14" s="8"/>
      <c r="R14" s="8"/>
      <c r="S14" s="8"/>
      <c r="T14" s="8"/>
      <c r="U14" s="8"/>
      <c r="V14" s="8"/>
      <c r="W14" s="8"/>
      <c r="X14" s="49"/>
      <c r="Y14" s="49"/>
      <c r="Z14" s="49"/>
      <c r="AA14" s="49"/>
    </row>
    <row r="15" spans="1:28" ht="42.75" x14ac:dyDescent="0.2">
      <c r="A15" s="102" t="s">
        <v>75</v>
      </c>
      <c r="B15" s="102" t="s">
        <v>362</v>
      </c>
      <c r="C15" s="102" t="s">
        <v>1051</v>
      </c>
      <c r="D15" s="102" t="s">
        <v>1062</v>
      </c>
      <c r="E15" s="102" t="s">
        <v>317</v>
      </c>
      <c r="F15" s="102" t="s">
        <v>318</v>
      </c>
      <c r="G15" s="91"/>
      <c r="H15" s="102" t="s">
        <v>28</v>
      </c>
      <c r="I15" s="92"/>
      <c r="J15" s="8"/>
      <c r="K15" s="8"/>
      <c r="L15" s="8"/>
      <c r="M15" s="8"/>
      <c r="N15" s="8"/>
      <c r="O15" s="8"/>
      <c r="P15" s="8"/>
      <c r="Q15" s="8"/>
      <c r="R15" s="8"/>
      <c r="S15" s="8"/>
      <c r="T15" s="8"/>
      <c r="U15" s="8"/>
      <c r="V15" s="8"/>
      <c r="W15" s="8"/>
      <c r="X15" s="49"/>
      <c r="Y15" s="49"/>
      <c r="Z15" s="49"/>
      <c r="AA15" s="49"/>
    </row>
    <row r="16" spans="1:28" ht="42.75" x14ac:dyDescent="0.2">
      <c r="A16" s="102" t="s">
        <v>76</v>
      </c>
      <c r="B16" s="102" t="s">
        <v>288</v>
      </c>
      <c r="C16" s="102" t="s">
        <v>1051</v>
      </c>
      <c r="D16" s="102" t="s">
        <v>1063</v>
      </c>
      <c r="E16" s="102" t="s">
        <v>319</v>
      </c>
      <c r="F16" s="102" t="s">
        <v>320</v>
      </c>
      <c r="G16" s="91"/>
      <c r="H16" s="102" t="s">
        <v>28</v>
      </c>
      <c r="I16" s="92"/>
      <c r="J16" s="8"/>
      <c r="K16" s="8"/>
      <c r="L16" s="8"/>
      <c r="M16" s="8"/>
      <c r="N16" s="8"/>
      <c r="O16" s="8"/>
      <c r="P16" s="8"/>
      <c r="Q16" s="8"/>
      <c r="R16" s="8"/>
      <c r="S16" s="8"/>
      <c r="T16" s="8"/>
      <c r="U16" s="8"/>
      <c r="V16" s="8"/>
      <c r="W16" s="8"/>
      <c r="X16" s="49"/>
      <c r="Y16" s="49"/>
      <c r="Z16" s="49"/>
      <c r="AA16" s="49"/>
    </row>
    <row r="17" spans="1:27" ht="42.75" x14ac:dyDescent="0.2">
      <c r="A17" s="102" t="s">
        <v>77</v>
      </c>
      <c r="B17" s="102" t="s">
        <v>364</v>
      </c>
      <c r="C17" s="102" t="s">
        <v>1051</v>
      </c>
      <c r="D17" s="102" t="s">
        <v>1064</v>
      </c>
      <c r="E17" s="102" t="s">
        <v>321</v>
      </c>
      <c r="F17" s="102" t="s">
        <v>373</v>
      </c>
      <c r="G17" s="91"/>
      <c r="H17" s="102" t="s">
        <v>28</v>
      </c>
      <c r="I17" s="92"/>
      <c r="J17" s="8"/>
      <c r="K17" s="8"/>
      <c r="L17" s="8"/>
      <c r="M17" s="8"/>
      <c r="N17" s="8"/>
      <c r="O17" s="8"/>
      <c r="P17" s="8"/>
      <c r="Q17" s="8"/>
      <c r="R17" s="8"/>
      <c r="S17" s="8"/>
      <c r="T17" s="8"/>
      <c r="U17" s="8"/>
      <c r="V17" s="8"/>
      <c r="W17" s="8"/>
      <c r="X17" s="49"/>
      <c r="Y17" s="49"/>
      <c r="Z17" s="49"/>
      <c r="AA17" s="49"/>
    </row>
    <row r="18" spans="1:27" ht="42.75" x14ac:dyDescent="0.2">
      <c r="A18" s="102" t="s">
        <v>78</v>
      </c>
      <c r="B18" s="102" t="s">
        <v>363</v>
      </c>
      <c r="C18" s="102" t="s">
        <v>1051</v>
      </c>
      <c r="D18" s="102" t="s">
        <v>1065</v>
      </c>
      <c r="E18" s="102" t="s">
        <v>322</v>
      </c>
      <c r="F18" s="102" t="s">
        <v>323</v>
      </c>
      <c r="G18" s="91"/>
      <c r="H18" s="102" t="s">
        <v>28</v>
      </c>
      <c r="I18" s="92"/>
      <c r="J18" s="8"/>
      <c r="K18" s="8"/>
      <c r="L18" s="8"/>
      <c r="M18" s="8"/>
      <c r="N18" s="8"/>
      <c r="O18" s="8"/>
      <c r="P18" s="8"/>
      <c r="Q18" s="8"/>
      <c r="R18" s="8"/>
      <c r="S18" s="8"/>
      <c r="T18" s="8"/>
      <c r="U18" s="8"/>
      <c r="V18" s="8"/>
      <c r="W18" s="8"/>
      <c r="X18" s="49"/>
      <c r="Y18" s="49"/>
      <c r="Z18" s="49"/>
      <c r="AA18" s="49"/>
    </row>
    <row r="19" spans="1:27" ht="42.75" x14ac:dyDescent="0.2">
      <c r="A19" s="102" t="s">
        <v>79</v>
      </c>
      <c r="B19" s="102" t="s">
        <v>289</v>
      </c>
      <c r="C19" s="102" t="s">
        <v>1051</v>
      </c>
      <c r="D19" s="102" t="s">
        <v>1066</v>
      </c>
      <c r="E19" s="102" t="s">
        <v>324</v>
      </c>
      <c r="F19" s="102" t="s">
        <v>325</v>
      </c>
      <c r="G19" s="91"/>
      <c r="H19" s="102" t="s">
        <v>28</v>
      </c>
      <c r="I19" s="92"/>
      <c r="J19" s="8"/>
      <c r="K19" s="8"/>
      <c r="L19" s="8"/>
      <c r="M19" s="8"/>
      <c r="N19" s="8"/>
      <c r="O19" s="8"/>
      <c r="P19" s="8"/>
      <c r="Q19" s="8"/>
      <c r="R19" s="8"/>
      <c r="S19" s="8"/>
      <c r="T19" s="8"/>
      <c r="U19" s="8"/>
      <c r="V19" s="8"/>
      <c r="W19" s="8"/>
      <c r="X19" s="49"/>
      <c r="Y19" s="49"/>
      <c r="Z19" s="49"/>
      <c r="AA19" s="49"/>
    </row>
    <row r="20" spans="1:27" ht="42.75" x14ac:dyDescent="0.2">
      <c r="A20" s="102" t="s">
        <v>80</v>
      </c>
      <c r="B20" s="102" t="s">
        <v>290</v>
      </c>
      <c r="C20" s="102" t="s">
        <v>1051</v>
      </c>
      <c r="D20" s="102" t="s">
        <v>1067</v>
      </c>
      <c r="E20" s="102" t="s">
        <v>326</v>
      </c>
      <c r="F20" s="102" t="s">
        <v>323</v>
      </c>
      <c r="G20" s="91"/>
      <c r="H20" s="102" t="s">
        <v>28</v>
      </c>
      <c r="I20" s="92"/>
      <c r="J20" s="8"/>
      <c r="K20" s="8"/>
      <c r="L20" s="8"/>
      <c r="M20" s="8"/>
      <c r="N20" s="8"/>
      <c r="O20" s="8"/>
      <c r="P20" s="8"/>
      <c r="Q20" s="8"/>
      <c r="R20" s="8"/>
      <c r="S20" s="8"/>
      <c r="T20" s="8"/>
      <c r="U20" s="8"/>
      <c r="V20" s="8"/>
      <c r="W20" s="8"/>
      <c r="X20" s="49"/>
      <c r="Y20" s="49"/>
      <c r="Z20" s="49"/>
      <c r="AA20" s="49"/>
    </row>
    <row r="21" spans="1:27" ht="42.75" x14ac:dyDescent="0.2">
      <c r="A21" s="102" t="s">
        <v>81</v>
      </c>
      <c r="B21" s="102" t="s">
        <v>291</v>
      </c>
      <c r="C21" s="102" t="s">
        <v>1051</v>
      </c>
      <c r="D21" s="102" t="s">
        <v>1068</v>
      </c>
      <c r="E21" s="102" t="s">
        <v>327</v>
      </c>
      <c r="F21" s="102" t="s">
        <v>323</v>
      </c>
      <c r="G21" s="91"/>
      <c r="H21" s="102" t="s">
        <v>28</v>
      </c>
      <c r="I21" s="92"/>
      <c r="J21" s="73"/>
      <c r="K21" s="73"/>
      <c r="L21" s="73"/>
      <c r="M21" s="73"/>
      <c r="N21" s="73"/>
      <c r="O21" s="73"/>
      <c r="P21" s="73"/>
      <c r="Q21" s="73"/>
      <c r="R21" s="73"/>
      <c r="S21" s="73"/>
      <c r="T21" s="73"/>
      <c r="U21" s="73"/>
      <c r="V21" s="73"/>
      <c r="W21" s="73"/>
      <c r="X21" s="49"/>
      <c r="Y21" s="49"/>
      <c r="Z21" s="49"/>
      <c r="AA21" s="49"/>
    </row>
    <row r="22" spans="1:27" ht="42.75" x14ac:dyDescent="0.2">
      <c r="A22" s="102" t="s">
        <v>82</v>
      </c>
      <c r="B22" s="102" t="s">
        <v>292</v>
      </c>
      <c r="C22" s="102" t="s">
        <v>1051</v>
      </c>
      <c r="D22" s="102" t="s">
        <v>1069</v>
      </c>
      <c r="E22" s="102" t="s">
        <v>328</v>
      </c>
      <c r="F22" s="102" t="s">
        <v>329</v>
      </c>
      <c r="G22" s="91"/>
      <c r="H22" s="102" t="s">
        <v>28</v>
      </c>
      <c r="I22" s="92"/>
      <c r="J22" s="73"/>
      <c r="K22" s="73"/>
      <c r="L22" s="73"/>
      <c r="M22" s="73"/>
      <c r="N22" s="73"/>
      <c r="O22" s="73"/>
      <c r="P22" s="73"/>
      <c r="Q22" s="73"/>
      <c r="R22" s="73"/>
      <c r="S22" s="73"/>
      <c r="T22" s="73"/>
      <c r="U22" s="73"/>
      <c r="V22" s="73"/>
      <c r="W22" s="73"/>
      <c r="X22" s="49"/>
      <c r="Y22" s="49"/>
      <c r="Z22" s="49"/>
      <c r="AA22" s="49"/>
    </row>
    <row r="23" spans="1:27" ht="42.75" x14ac:dyDescent="0.2">
      <c r="A23" s="102" t="s">
        <v>83</v>
      </c>
      <c r="B23" s="102" t="s">
        <v>293</v>
      </c>
      <c r="C23" s="102" t="s">
        <v>1051</v>
      </c>
      <c r="D23" s="102" t="s">
        <v>1070</v>
      </c>
      <c r="E23" s="102" t="s">
        <v>330</v>
      </c>
      <c r="F23" s="102" t="s">
        <v>329</v>
      </c>
      <c r="G23" s="91"/>
      <c r="H23" s="102" t="s">
        <v>28</v>
      </c>
      <c r="I23" s="92"/>
      <c r="J23" s="8"/>
      <c r="K23" s="8"/>
      <c r="L23" s="8"/>
      <c r="M23" s="8"/>
      <c r="N23" s="8"/>
      <c r="O23" s="8"/>
      <c r="P23" s="8"/>
      <c r="Q23" s="8"/>
      <c r="R23" s="8"/>
      <c r="S23" s="8"/>
      <c r="T23" s="8"/>
      <c r="U23" s="8"/>
      <c r="V23" s="8"/>
      <c r="W23" s="8"/>
      <c r="X23" s="49"/>
      <c r="Y23" s="49"/>
      <c r="Z23" s="49"/>
      <c r="AA23" s="49"/>
    </row>
    <row r="24" spans="1:27" ht="42.75" x14ac:dyDescent="0.2">
      <c r="A24" s="102" t="s">
        <v>84</v>
      </c>
      <c r="B24" s="102" t="s">
        <v>294</v>
      </c>
      <c r="C24" s="102" t="s">
        <v>1051</v>
      </c>
      <c r="D24" s="102" t="s">
        <v>1071</v>
      </c>
      <c r="E24" s="102" t="s">
        <v>331</v>
      </c>
      <c r="F24" s="102" t="s">
        <v>332</v>
      </c>
      <c r="G24" s="91"/>
      <c r="H24" s="102" t="s">
        <v>28</v>
      </c>
      <c r="I24" s="92"/>
      <c r="J24" s="73"/>
      <c r="K24" s="73"/>
      <c r="L24" s="73"/>
      <c r="M24" s="73"/>
      <c r="N24" s="73"/>
      <c r="O24" s="73"/>
      <c r="P24" s="73"/>
      <c r="Q24" s="73"/>
      <c r="R24" s="73"/>
      <c r="S24" s="73"/>
      <c r="T24" s="73"/>
      <c r="U24" s="73"/>
      <c r="V24" s="73"/>
      <c r="W24" s="73"/>
      <c r="X24" s="49"/>
      <c r="Y24" s="49"/>
      <c r="Z24" s="49"/>
      <c r="AA24" s="49"/>
    </row>
    <row r="25" spans="1:27" ht="42.75" x14ac:dyDescent="0.15">
      <c r="A25" s="102" t="s">
        <v>302</v>
      </c>
      <c r="B25" s="102" t="s">
        <v>295</v>
      </c>
      <c r="C25" s="102" t="s">
        <v>1051</v>
      </c>
      <c r="D25" s="102" t="s">
        <v>1072</v>
      </c>
      <c r="E25" s="102" t="s">
        <v>333</v>
      </c>
      <c r="F25" s="102" t="s">
        <v>329</v>
      </c>
      <c r="G25" s="91"/>
      <c r="H25" s="102" t="s">
        <v>28</v>
      </c>
      <c r="I25" s="92"/>
    </row>
    <row r="26" spans="1:27" ht="42.75" x14ac:dyDescent="0.2">
      <c r="A26" s="102" t="s">
        <v>303</v>
      </c>
      <c r="B26" s="102" t="s">
        <v>296</v>
      </c>
      <c r="C26" s="102" t="s">
        <v>1051</v>
      </c>
      <c r="D26" s="102" t="s">
        <v>1073</v>
      </c>
      <c r="E26" s="102" t="s">
        <v>334</v>
      </c>
      <c r="F26" s="102" t="s">
        <v>329</v>
      </c>
      <c r="G26" s="91"/>
      <c r="H26" s="102" t="s">
        <v>28</v>
      </c>
      <c r="I26" s="92"/>
      <c r="J26" s="8"/>
      <c r="K26" s="8"/>
      <c r="L26" s="8"/>
      <c r="M26" s="8"/>
      <c r="N26" s="8"/>
      <c r="O26" s="8"/>
      <c r="P26" s="8"/>
      <c r="Q26" s="8"/>
      <c r="R26" s="8"/>
      <c r="S26" s="8"/>
      <c r="T26" s="8"/>
      <c r="U26" s="8"/>
      <c r="V26" s="8"/>
      <c r="W26" s="8"/>
      <c r="X26" s="49"/>
      <c r="Y26" s="49"/>
      <c r="Z26" s="49"/>
      <c r="AA26" s="49"/>
    </row>
    <row r="27" spans="1:27" ht="42.75" x14ac:dyDescent="0.2">
      <c r="A27" s="102" t="s">
        <v>304</v>
      </c>
      <c r="B27" s="102" t="s">
        <v>297</v>
      </c>
      <c r="C27" s="102" t="s">
        <v>1051</v>
      </c>
      <c r="D27" s="102" t="s">
        <v>1074</v>
      </c>
      <c r="E27" s="102" t="s">
        <v>335</v>
      </c>
      <c r="F27" s="102" t="s">
        <v>329</v>
      </c>
      <c r="G27" s="91"/>
      <c r="H27" s="102" t="s">
        <v>28</v>
      </c>
      <c r="I27" s="92"/>
      <c r="J27" s="8"/>
      <c r="K27" s="8"/>
      <c r="L27" s="8"/>
      <c r="M27" s="8"/>
      <c r="N27" s="8"/>
      <c r="O27" s="8"/>
      <c r="P27" s="8"/>
      <c r="Q27" s="8"/>
      <c r="R27" s="8"/>
      <c r="S27" s="8"/>
      <c r="T27" s="8"/>
      <c r="U27" s="8"/>
      <c r="V27" s="8"/>
      <c r="W27" s="8"/>
      <c r="X27" s="49"/>
      <c r="Y27" s="49"/>
      <c r="Z27" s="49"/>
      <c r="AA27" s="49"/>
    </row>
    <row r="28" spans="1:27" ht="42.75" x14ac:dyDescent="0.2">
      <c r="A28" s="102" t="s">
        <v>305</v>
      </c>
      <c r="B28" s="102" t="s">
        <v>298</v>
      </c>
      <c r="C28" s="102" t="s">
        <v>1051</v>
      </c>
      <c r="D28" s="102" t="s">
        <v>1075</v>
      </c>
      <c r="E28" s="102" t="s">
        <v>336</v>
      </c>
      <c r="F28" s="102" t="s">
        <v>329</v>
      </c>
      <c r="G28" s="91"/>
      <c r="H28" s="102" t="s">
        <v>28</v>
      </c>
      <c r="I28" s="92"/>
      <c r="J28" s="8"/>
      <c r="K28" s="8"/>
      <c r="L28" s="8"/>
      <c r="M28" s="8"/>
      <c r="N28" s="8"/>
      <c r="O28" s="8"/>
      <c r="P28" s="8"/>
      <c r="Q28" s="8"/>
      <c r="R28" s="8"/>
      <c r="S28" s="8"/>
      <c r="T28" s="8"/>
      <c r="U28" s="8"/>
      <c r="V28" s="8"/>
      <c r="W28" s="8"/>
      <c r="X28" s="49"/>
      <c r="Y28" s="49"/>
      <c r="Z28" s="49"/>
      <c r="AA28" s="49"/>
    </row>
    <row r="29" spans="1:27" ht="42.75" x14ac:dyDescent="0.2">
      <c r="A29" s="102" t="s">
        <v>306</v>
      </c>
      <c r="B29" s="102" t="s">
        <v>299</v>
      </c>
      <c r="C29" s="102" t="s">
        <v>1051</v>
      </c>
      <c r="D29" s="102" t="s">
        <v>1076</v>
      </c>
      <c r="E29" s="102" t="s">
        <v>337</v>
      </c>
      <c r="F29" s="102" t="s">
        <v>338</v>
      </c>
      <c r="G29" s="91"/>
      <c r="H29" s="102" t="s">
        <v>28</v>
      </c>
      <c r="I29" s="92"/>
      <c r="J29" s="8"/>
      <c r="K29" s="8"/>
      <c r="L29" s="8"/>
      <c r="M29" s="8"/>
      <c r="N29" s="8"/>
      <c r="O29" s="8"/>
      <c r="P29" s="8"/>
      <c r="Q29" s="8"/>
      <c r="R29" s="8"/>
      <c r="S29" s="8"/>
      <c r="T29" s="8"/>
      <c r="U29" s="8"/>
      <c r="V29" s="8"/>
      <c r="W29" s="8"/>
      <c r="X29" s="49"/>
      <c r="Y29" s="49"/>
      <c r="Z29" s="49"/>
      <c r="AA29" s="49"/>
    </row>
    <row r="30" spans="1:27" ht="42.75" x14ac:dyDescent="0.2">
      <c r="A30" s="102" t="s">
        <v>307</v>
      </c>
      <c r="B30" s="102" t="s">
        <v>300</v>
      </c>
      <c r="C30" s="102" t="s">
        <v>1051</v>
      </c>
      <c r="D30" s="102" t="s">
        <v>1077</v>
      </c>
      <c r="E30" s="102" t="s">
        <v>339</v>
      </c>
      <c r="F30" s="102" t="s">
        <v>340</v>
      </c>
      <c r="G30" s="91"/>
      <c r="H30" s="102" t="s">
        <v>28</v>
      </c>
      <c r="I30" s="92"/>
      <c r="J30" s="8"/>
      <c r="K30" s="8"/>
      <c r="L30" s="8"/>
      <c r="M30" s="8"/>
      <c r="N30" s="8"/>
      <c r="O30" s="8"/>
      <c r="P30" s="8"/>
      <c r="Q30" s="8"/>
      <c r="R30" s="8"/>
      <c r="S30" s="8"/>
      <c r="T30" s="8"/>
      <c r="U30" s="8"/>
      <c r="V30" s="8"/>
      <c r="W30" s="8"/>
      <c r="X30" s="49"/>
      <c r="Y30" s="49"/>
      <c r="Z30" s="49"/>
      <c r="AA30" s="49"/>
    </row>
    <row r="31" spans="1:27" ht="42.75" x14ac:dyDescent="0.2">
      <c r="A31" s="102" t="s">
        <v>308</v>
      </c>
      <c r="B31" s="102" t="s">
        <v>376</v>
      </c>
      <c r="C31" s="102" t="s">
        <v>1051</v>
      </c>
      <c r="D31" s="102" t="s">
        <v>1078</v>
      </c>
      <c r="E31" s="102" t="s">
        <v>341</v>
      </c>
      <c r="F31" s="102" t="s">
        <v>374</v>
      </c>
      <c r="G31" s="91"/>
      <c r="H31" s="102" t="s">
        <v>28</v>
      </c>
      <c r="I31" s="92"/>
      <c r="J31" s="8"/>
      <c r="K31" s="8"/>
      <c r="L31" s="8"/>
      <c r="M31" s="8"/>
      <c r="N31" s="8"/>
      <c r="O31" s="8"/>
      <c r="P31" s="8"/>
      <c r="Q31" s="8"/>
      <c r="R31" s="8"/>
      <c r="S31" s="8"/>
      <c r="T31" s="8"/>
      <c r="U31" s="8"/>
      <c r="V31" s="8"/>
      <c r="W31" s="8"/>
      <c r="X31" s="49"/>
      <c r="Y31" s="49"/>
      <c r="Z31" s="49"/>
      <c r="AA31" s="49"/>
    </row>
    <row r="32" spans="1:27" ht="42.75" x14ac:dyDescent="0.2">
      <c r="A32" s="102" t="s">
        <v>309</v>
      </c>
      <c r="B32" s="102" t="s">
        <v>301</v>
      </c>
      <c r="C32" s="102" t="s">
        <v>1051</v>
      </c>
      <c r="D32" s="102" t="s">
        <v>1079</v>
      </c>
      <c r="E32" s="102" t="s">
        <v>342</v>
      </c>
      <c r="F32" s="102" t="s">
        <v>375</v>
      </c>
      <c r="G32" s="91"/>
      <c r="H32" s="102" t="s">
        <v>28</v>
      </c>
      <c r="I32" s="92"/>
      <c r="J32" s="8"/>
      <c r="K32" s="8"/>
      <c r="L32" s="8"/>
      <c r="M32" s="8"/>
      <c r="N32" s="8"/>
      <c r="O32" s="8"/>
      <c r="P32" s="8"/>
      <c r="Q32" s="8"/>
      <c r="R32" s="8"/>
      <c r="S32" s="8"/>
      <c r="T32" s="8"/>
      <c r="U32" s="8"/>
      <c r="V32" s="8"/>
      <c r="W32" s="8"/>
      <c r="X32" s="49"/>
      <c r="Y32" s="49"/>
      <c r="Z32" s="49"/>
      <c r="AA32" s="49"/>
    </row>
    <row r="33" spans="1:28" ht="42.75" x14ac:dyDescent="0.2">
      <c r="A33" s="102" t="s">
        <v>310</v>
      </c>
      <c r="B33" s="102" t="s">
        <v>728</v>
      </c>
      <c r="C33" s="102" t="s">
        <v>1051</v>
      </c>
      <c r="D33" s="102" t="s">
        <v>1080</v>
      </c>
      <c r="E33" s="102"/>
      <c r="F33" s="102" t="s">
        <v>377</v>
      </c>
      <c r="G33" s="91"/>
      <c r="H33" s="102" t="s">
        <v>28</v>
      </c>
      <c r="I33" s="92"/>
      <c r="J33" s="8"/>
      <c r="K33" s="8"/>
      <c r="L33" s="8"/>
      <c r="M33" s="8"/>
      <c r="N33" s="8"/>
      <c r="O33" s="8"/>
      <c r="P33" s="8"/>
      <c r="Q33" s="8"/>
      <c r="R33" s="8"/>
      <c r="S33" s="8"/>
      <c r="T33" s="8"/>
      <c r="U33" s="8"/>
      <c r="V33" s="8"/>
      <c r="W33" s="8"/>
      <c r="X33" s="49"/>
      <c r="Y33" s="49"/>
      <c r="Z33" s="49"/>
      <c r="AA33" s="49"/>
    </row>
    <row r="34" spans="1:28" ht="57" x14ac:dyDescent="0.2">
      <c r="A34" s="102" t="s">
        <v>311</v>
      </c>
      <c r="B34" s="102" t="s">
        <v>729</v>
      </c>
      <c r="C34" s="102" t="s">
        <v>1052</v>
      </c>
      <c r="D34" s="102" t="s">
        <v>1056</v>
      </c>
      <c r="E34" s="102" t="s">
        <v>343</v>
      </c>
      <c r="F34" s="102" t="s">
        <v>378</v>
      </c>
      <c r="G34" s="91"/>
      <c r="H34" s="102" t="s">
        <v>28</v>
      </c>
      <c r="I34" s="92"/>
      <c r="J34" s="8"/>
      <c r="K34" s="8"/>
      <c r="L34" s="8"/>
      <c r="M34" s="8"/>
      <c r="N34" s="8"/>
      <c r="O34" s="8"/>
      <c r="P34" s="8"/>
      <c r="Q34" s="8"/>
      <c r="R34" s="8"/>
      <c r="S34" s="8"/>
      <c r="T34" s="8"/>
      <c r="U34" s="8"/>
      <c r="V34" s="8"/>
      <c r="W34" s="8"/>
      <c r="X34" s="49"/>
      <c r="Y34" s="49"/>
      <c r="Z34" s="49"/>
      <c r="AA34" s="49"/>
    </row>
    <row r="35" spans="1:28" ht="71.25" x14ac:dyDescent="0.2">
      <c r="A35" s="102" t="s">
        <v>312</v>
      </c>
      <c r="B35" s="102" t="s">
        <v>361</v>
      </c>
      <c r="C35" s="102" t="s">
        <v>1053</v>
      </c>
      <c r="D35" s="102" t="s">
        <v>379</v>
      </c>
      <c r="E35" s="102"/>
      <c r="F35" s="102" t="s">
        <v>380</v>
      </c>
      <c r="G35" s="91"/>
      <c r="H35" s="102" t="s">
        <v>28</v>
      </c>
      <c r="I35" s="92"/>
      <c r="J35" s="73"/>
      <c r="K35" s="73"/>
      <c r="L35" s="73"/>
      <c r="M35" s="73"/>
      <c r="N35" s="73"/>
      <c r="O35" s="73"/>
      <c r="P35" s="73"/>
      <c r="Q35" s="73"/>
      <c r="R35" s="73"/>
      <c r="S35" s="73"/>
      <c r="T35" s="73"/>
      <c r="U35" s="73"/>
      <c r="V35" s="73"/>
      <c r="W35" s="73"/>
      <c r="X35" s="49"/>
      <c r="Y35" s="49"/>
      <c r="Z35" s="49"/>
      <c r="AA35" s="49"/>
    </row>
    <row r="36" spans="1:28" ht="57" x14ac:dyDescent="0.2">
      <c r="A36" s="102" t="s">
        <v>313</v>
      </c>
      <c r="B36" s="92" t="s">
        <v>446</v>
      </c>
      <c r="C36" s="92" t="s">
        <v>447</v>
      </c>
      <c r="D36" s="92" t="s">
        <v>448</v>
      </c>
      <c r="E36" s="92"/>
      <c r="F36" s="92" t="s">
        <v>449</v>
      </c>
      <c r="G36" s="103"/>
      <c r="H36" s="102" t="s">
        <v>25</v>
      </c>
      <c r="I36" s="92"/>
      <c r="J36" s="73"/>
      <c r="K36" s="73"/>
      <c r="L36" s="73"/>
      <c r="M36" s="73"/>
      <c r="N36" s="73"/>
      <c r="O36" s="73"/>
      <c r="P36" s="73"/>
      <c r="Q36" s="73"/>
      <c r="R36" s="73"/>
      <c r="S36" s="73"/>
      <c r="T36" s="73"/>
      <c r="U36" s="73"/>
      <c r="V36" s="73"/>
      <c r="W36" s="73"/>
      <c r="X36" s="49"/>
      <c r="Y36" s="49"/>
      <c r="Z36" s="49"/>
      <c r="AA36" s="49"/>
    </row>
    <row r="37" spans="1:28" ht="15" x14ac:dyDescent="0.2">
      <c r="A37" s="172" t="s">
        <v>86</v>
      </c>
      <c r="B37" s="173"/>
      <c r="C37" s="173"/>
      <c r="D37" s="173"/>
      <c r="E37" s="173"/>
      <c r="F37" s="173"/>
      <c r="G37" s="173"/>
      <c r="H37" s="173"/>
      <c r="I37" s="92"/>
      <c r="J37" s="73"/>
      <c r="K37" s="8"/>
      <c r="L37" s="8"/>
      <c r="M37" s="8"/>
      <c r="N37" s="8"/>
      <c r="O37" s="8"/>
      <c r="P37" s="8"/>
      <c r="Q37" s="8"/>
      <c r="R37" s="8"/>
      <c r="S37" s="8"/>
      <c r="T37" s="8"/>
      <c r="U37" s="8"/>
      <c r="V37" s="8"/>
      <c r="W37" s="8"/>
      <c r="X37" s="8"/>
      <c r="Y37" s="49"/>
      <c r="Z37" s="49"/>
      <c r="AA37" s="49"/>
      <c r="AB37" s="49"/>
    </row>
    <row r="38" spans="1:28" ht="57" x14ac:dyDescent="0.2">
      <c r="A38" s="102" t="s">
        <v>348</v>
      </c>
      <c r="B38" s="102" t="s">
        <v>69</v>
      </c>
      <c r="C38" s="102" t="s">
        <v>1051</v>
      </c>
      <c r="D38" s="102" t="s">
        <v>152</v>
      </c>
      <c r="E38" s="102"/>
      <c r="F38" s="102" t="s">
        <v>354</v>
      </c>
      <c r="G38" s="91"/>
      <c r="H38" s="102" t="s">
        <v>25</v>
      </c>
      <c r="I38" s="92"/>
      <c r="J38" s="8"/>
      <c r="K38" s="8"/>
      <c r="L38" s="8"/>
      <c r="M38" s="8"/>
      <c r="N38" s="8"/>
      <c r="O38" s="8"/>
      <c r="P38" s="8"/>
      <c r="Q38" s="8"/>
      <c r="R38" s="8"/>
      <c r="S38" s="8"/>
      <c r="T38" s="8"/>
      <c r="U38" s="8"/>
      <c r="V38" s="8"/>
      <c r="W38" s="8"/>
      <c r="X38" s="8"/>
      <c r="Y38" s="49"/>
      <c r="Z38" s="49"/>
      <c r="AA38" s="49"/>
      <c r="AB38" s="49"/>
    </row>
    <row r="39" spans="1:28" ht="57" x14ac:dyDescent="0.2">
      <c r="A39" s="102" t="s">
        <v>349</v>
      </c>
      <c r="B39" s="102" t="s">
        <v>344</v>
      </c>
      <c r="C39" s="102" t="s">
        <v>1054</v>
      </c>
      <c r="D39" s="102" t="s">
        <v>1081</v>
      </c>
      <c r="E39" s="102"/>
      <c r="F39" s="102" t="s">
        <v>355</v>
      </c>
      <c r="G39" s="91"/>
      <c r="H39" s="102" t="s">
        <v>25</v>
      </c>
      <c r="I39" s="92"/>
      <c r="J39" s="8"/>
      <c r="K39" s="8"/>
      <c r="L39" s="8"/>
      <c r="M39" s="8"/>
      <c r="N39" s="8"/>
      <c r="O39" s="8"/>
      <c r="P39" s="8"/>
      <c r="Q39" s="8"/>
      <c r="R39" s="8"/>
      <c r="S39" s="8"/>
      <c r="T39" s="8"/>
      <c r="U39" s="8"/>
      <c r="V39" s="8"/>
      <c r="W39" s="8"/>
      <c r="X39" s="8"/>
      <c r="Y39" s="49"/>
      <c r="Z39" s="49"/>
      <c r="AA39" s="49"/>
      <c r="AB39" s="49"/>
    </row>
    <row r="40" spans="1:28" ht="42.75" x14ac:dyDescent="0.2">
      <c r="A40" s="102" t="s">
        <v>350</v>
      </c>
      <c r="B40" s="102" t="s">
        <v>345</v>
      </c>
      <c r="C40" s="102" t="s">
        <v>1051</v>
      </c>
      <c r="D40" s="102" t="s">
        <v>356</v>
      </c>
      <c r="E40" s="102"/>
      <c r="F40" s="102" t="s">
        <v>766</v>
      </c>
      <c r="G40" s="91"/>
      <c r="H40" s="102" t="s">
        <v>25</v>
      </c>
      <c r="I40" s="92"/>
      <c r="J40" s="8"/>
      <c r="K40" s="8"/>
      <c r="L40" s="8"/>
      <c r="M40" s="8"/>
      <c r="N40" s="8"/>
      <c r="O40" s="8"/>
      <c r="P40" s="8"/>
      <c r="Q40" s="8"/>
      <c r="R40" s="8"/>
      <c r="S40" s="8"/>
      <c r="T40" s="8"/>
      <c r="U40" s="8"/>
      <c r="V40" s="8"/>
      <c r="W40" s="8"/>
      <c r="X40" s="8"/>
      <c r="Y40" s="49"/>
      <c r="Z40" s="49"/>
      <c r="AA40" s="49"/>
      <c r="AB40" s="49"/>
    </row>
    <row r="41" spans="1:28" ht="71.25" x14ac:dyDescent="0.2">
      <c r="A41" s="102" t="s">
        <v>351</v>
      </c>
      <c r="B41" s="102" t="s">
        <v>346</v>
      </c>
      <c r="C41" s="102" t="s">
        <v>1051</v>
      </c>
      <c r="D41" s="102" t="s">
        <v>357</v>
      </c>
      <c r="E41" s="102" t="s">
        <v>328</v>
      </c>
      <c r="F41" s="102" t="s">
        <v>767</v>
      </c>
      <c r="G41" s="91"/>
      <c r="H41" s="102" t="s">
        <v>25</v>
      </c>
      <c r="I41" s="92"/>
      <c r="J41" s="8"/>
      <c r="K41" s="8"/>
      <c r="L41" s="8"/>
      <c r="M41" s="8"/>
      <c r="N41" s="8"/>
      <c r="O41" s="8"/>
      <c r="P41" s="8"/>
      <c r="Q41" s="8"/>
      <c r="R41" s="8"/>
      <c r="S41" s="8"/>
      <c r="T41" s="8"/>
      <c r="U41" s="8"/>
      <c r="V41" s="8"/>
      <c r="W41" s="8"/>
      <c r="X41" s="8"/>
      <c r="Y41" s="49"/>
      <c r="Z41" s="49"/>
      <c r="AA41" s="49"/>
      <c r="AB41" s="49"/>
    </row>
    <row r="42" spans="1:28" ht="42.75" x14ac:dyDescent="0.2">
      <c r="A42" s="102" t="s">
        <v>352</v>
      </c>
      <c r="B42" s="102" t="s">
        <v>347</v>
      </c>
      <c r="C42" s="102" t="s">
        <v>1051</v>
      </c>
      <c r="D42" s="102" t="s">
        <v>1082</v>
      </c>
      <c r="E42" s="102"/>
      <c r="F42" s="102" t="s">
        <v>368</v>
      </c>
      <c r="G42" s="91"/>
      <c r="H42" s="102" t="s">
        <v>25</v>
      </c>
      <c r="I42" s="92"/>
      <c r="J42" s="8"/>
      <c r="K42" s="8"/>
      <c r="L42" s="8"/>
      <c r="M42" s="8"/>
      <c r="N42" s="8"/>
      <c r="O42" s="8"/>
      <c r="P42" s="8"/>
      <c r="Q42" s="8"/>
      <c r="R42" s="8"/>
      <c r="S42" s="8"/>
      <c r="T42" s="8"/>
      <c r="U42" s="8"/>
      <c r="V42" s="8"/>
      <c r="W42" s="8"/>
      <c r="X42" s="8"/>
      <c r="Y42" s="49"/>
      <c r="Z42" s="49"/>
      <c r="AA42" s="49"/>
      <c r="AB42" s="49"/>
    </row>
    <row r="43" spans="1:28" ht="15" x14ac:dyDescent="0.2">
      <c r="A43" s="172" t="s">
        <v>160</v>
      </c>
      <c r="B43" s="173"/>
      <c r="C43" s="173"/>
      <c r="D43" s="173"/>
      <c r="E43" s="173"/>
      <c r="F43" s="173"/>
      <c r="G43" s="173"/>
      <c r="H43" s="173"/>
      <c r="I43" s="92"/>
      <c r="J43" s="8"/>
      <c r="K43" s="8"/>
      <c r="L43" s="8"/>
      <c r="M43" s="8"/>
      <c r="N43" s="8"/>
      <c r="O43" s="8"/>
      <c r="P43" s="8"/>
      <c r="Q43" s="8"/>
      <c r="R43" s="8"/>
      <c r="S43" s="8"/>
      <c r="T43" s="8"/>
      <c r="U43" s="8"/>
      <c r="V43" s="8"/>
      <c r="W43" s="8"/>
      <c r="X43" s="8"/>
      <c r="Y43" s="49"/>
      <c r="Z43" s="49"/>
      <c r="AA43" s="49"/>
      <c r="AB43" s="49"/>
    </row>
    <row r="44" spans="1:28" ht="71.25" x14ac:dyDescent="0.2">
      <c r="A44" s="102" t="s">
        <v>353</v>
      </c>
      <c r="B44" s="102" t="s">
        <v>366</v>
      </c>
      <c r="C44" s="102" t="s">
        <v>1055</v>
      </c>
      <c r="D44" s="102" t="s">
        <v>1083</v>
      </c>
      <c r="E44" s="102"/>
      <c r="F44" s="102" t="s">
        <v>367</v>
      </c>
      <c r="G44" s="91"/>
      <c r="H44" s="102" t="s">
        <v>28</v>
      </c>
      <c r="I44" s="92"/>
      <c r="J44" s="8"/>
      <c r="K44" s="8"/>
      <c r="L44" s="8"/>
      <c r="M44" s="8"/>
      <c r="N44" s="8"/>
      <c r="O44" s="8"/>
      <c r="P44" s="8"/>
      <c r="Q44" s="8"/>
      <c r="R44" s="8"/>
      <c r="S44" s="8"/>
      <c r="T44" s="8"/>
      <c r="U44" s="8"/>
      <c r="V44" s="8"/>
      <c r="W44" s="8"/>
      <c r="X44" s="8"/>
      <c r="Y44" s="49"/>
      <c r="Z44" s="49"/>
      <c r="AA44" s="49"/>
      <c r="AB44" s="49"/>
    </row>
    <row r="45" spans="1:28" ht="14.25"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4.25"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49"/>
      <c r="Z188" s="49"/>
      <c r="AA188" s="49"/>
      <c r="AB188" s="49"/>
    </row>
    <row r="189" spans="1:28" ht="14.25"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49"/>
      <c r="Z189" s="49"/>
      <c r="AA189" s="49"/>
      <c r="AB189" s="49"/>
    </row>
    <row r="190" spans="1:28" ht="14.25"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49"/>
      <c r="Z190" s="49"/>
      <c r="AA190" s="49"/>
      <c r="AB190" s="49"/>
    </row>
    <row r="191" spans="1:28" ht="14.25"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49"/>
      <c r="Z191" s="49"/>
      <c r="AA191" s="49"/>
      <c r="AB191" s="49"/>
    </row>
    <row r="192" spans="1:28" ht="14.25"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49"/>
      <c r="Z192" s="49"/>
      <c r="AA192" s="49"/>
      <c r="AB192" s="49"/>
    </row>
    <row r="193" spans="1:28" ht="14.25"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49"/>
      <c r="Z193" s="49"/>
      <c r="AA193" s="49"/>
      <c r="AB193" s="49"/>
    </row>
    <row r="194" spans="1:28" ht="14.25"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49"/>
      <c r="Z194" s="49"/>
      <c r="AA194" s="49"/>
      <c r="AB194" s="49"/>
    </row>
    <row r="195" spans="1:28" ht="14.25"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49"/>
      <c r="Z195" s="49"/>
      <c r="AA195" s="49"/>
      <c r="AB195" s="49"/>
    </row>
    <row r="196" spans="1:28" ht="14.25"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49"/>
      <c r="Z196" s="49"/>
      <c r="AA196" s="49"/>
      <c r="AB196" s="49"/>
    </row>
    <row r="197" spans="1:28" ht="14.25"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49"/>
      <c r="Z197" s="49"/>
      <c r="AA197" s="49"/>
      <c r="AB197" s="49"/>
    </row>
    <row r="198" spans="1:28" ht="14.25"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49"/>
      <c r="Z198" s="49"/>
      <c r="AA198" s="49"/>
      <c r="AB198" s="49"/>
    </row>
    <row r="199" spans="1:28" ht="14.25" x14ac:dyDescent="0.2">
      <c r="A199" s="8"/>
      <c r="B199" s="8"/>
      <c r="C199" s="8"/>
      <c r="D199" s="8"/>
      <c r="E199" s="8"/>
      <c r="F199" s="8"/>
      <c r="G199" s="8"/>
      <c r="H199" s="8"/>
      <c r="I199" s="8"/>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8"/>
      <c r="B200" s="8"/>
      <c r="C200" s="8"/>
      <c r="D200" s="8"/>
      <c r="E200" s="8"/>
      <c r="F200" s="8"/>
      <c r="G200" s="8"/>
      <c r="H200" s="8"/>
      <c r="I200" s="8"/>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8"/>
      <c r="B201" s="8"/>
      <c r="C201" s="8"/>
      <c r="D201" s="8"/>
      <c r="E201" s="8"/>
      <c r="F201" s="8"/>
      <c r="G201" s="8"/>
      <c r="H201" s="8"/>
      <c r="I201" s="8"/>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8"/>
      <c r="B202" s="8"/>
      <c r="C202" s="8"/>
      <c r="D202" s="8"/>
      <c r="E202" s="8"/>
      <c r="F202" s="8"/>
      <c r="G202" s="8"/>
      <c r="H202" s="8"/>
      <c r="I202" s="8"/>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8"/>
      <c r="B203" s="8"/>
      <c r="C203" s="8"/>
      <c r="D203" s="8"/>
      <c r="E203" s="8"/>
      <c r="F203" s="8"/>
      <c r="G203" s="8"/>
      <c r="H203" s="8"/>
      <c r="I203" s="8"/>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8"/>
      <c r="B204" s="8"/>
      <c r="C204" s="8"/>
      <c r="D204" s="8"/>
      <c r="E204" s="8"/>
      <c r="F204" s="8"/>
      <c r="G204" s="8"/>
      <c r="H204" s="8"/>
      <c r="I204" s="8"/>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8"/>
      <c r="B205" s="8"/>
      <c r="C205" s="8"/>
      <c r="D205" s="8"/>
      <c r="E205" s="8"/>
      <c r="F205" s="8"/>
      <c r="G205" s="8"/>
      <c r="H205" s="8"/>
      <c r="I205" s="8"/>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8"/>
      <c r="B206" s="8"/>
      <c r="C206" s="8"/>
      <c r="D206" s="8"/>
      <c r="E206" s="8"/>
      <c r="F206" s="8"/>
      <c r="G206" s="8"/>
      <c r="H206" s="8"/>
      <c r="I206" s="8"/>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8"/>
      <c r="B207" s="8"/>
      <c r="C207" s="8"/>
      <c r="D207" s="8"/>
      <c r="E207" s="8"/>
      <c r="F207" s="8"/>
      <c r="G207" s="8"/>
      <c r="H207" s="8"/>
      <c r="I207" s="8"/>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8"/>
      <c r="B208" s="8"/>
      <c r="C208" s="8"/>
      <c r="D208" s="8"/>
      <c r="E208" s="8"/>
      <c r="F208" s="8"/>
      <c r="G208" s="8"/>
      <c r="H208" s="8"/>
      <c r="I208" s="8"/>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8"/>
      <c r="B209" s="8"/>
      <c r="C209" s="8"/>
      <c r="D209" s="8"/>
      <c r="E209" s="8"/>
      <c r="F209" s="8"/>
      <c r="G209" s="8"/>
      <c r="H209" s="8"/>
      <c r="I209" s="8"/>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4.25"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spans="1:28" ht="14.25"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spans="1:28" ht="14.25" x14ac:dyDescent="0.2">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spans="1:28" ht="14.25" x14ac:dyDescent="0.2">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spans="1:28" ht="14.25" x14ac:dyDescent="0.2">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spans="1:28" ht="14.25" x14ac:dyDescent="0.2">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spans="1:28" ht="14.25" x14ac:dyDescent="0.2">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row>
    <row r="972" spans="1:28" ht="14.25" x14ac:dyDescent="0.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row>
    <row r="973" spans="1:28" ht="14.25" x14ac:dyDescent="0.2">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row>
    <row r="974" spans="1:28" ht="14.25" x14ac:dyDescent="0.2">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row>
    <row r="975" spans="1:28" ht="14.25" x14ac:dyDescent="0.2">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row>
    <row r="976" spans="1:28" ht="14.25" x14ac:dyDescent="0.2">
      <c r="A976" s="49"/>
      <c r="B976" s="49"/>
      <c r="C976" s="49"/>
      <c r="D976" s="49"/>
      <c r="E976" s="49"/>
      <c r="F976" s="49"/>
      <c r="G976" s="49"/>
      <c r="H976" s="49"/>
      <c r="I976" s="49"/>
    </row>
    <row r="977" spans="1:9" ht="14.25" x14ac:dyDescent="0.2">
      <c r="A977" s="49"/>
      <c r="B977" s="49"/>
      <c r="C977" s="49"/>
      <c r="D977" s="49"/>
      <c r="E977" s="49"/>
      <c r="F977" s="49"/>
      <c r="G977" s="49"/>
      <c r="H977" s="49"/>
      <c r="I977" s="49"/>
    </row>
    <row r="978" spans="1:9" ht="14.25" x14ac:dyDescent="0.2">
      <c r="A978" s="49"/>
      <c r="B978" s="49"/>
      <c r="C978" s="49"/>
      <c r="D978" s="49"/>
      <c r="E978" s="49"/>
      <c r="F978" s="49"/>
      <c r="G978" s="49"/>
      <c r="H978" s="49"/>
      <c r="I978" s="49"/>
    </row>
    <row r="979" spans="1:9" ht="14.25" x14ac:dyDescent="0.2">
      <c r="A979" s="49"/>
      <c r="B979" s="49"/>
      <c r="C979" s="49"/>
      <c r="D979" s="49"/>
      <c r="E979" s="49"/>
      <c r="F979" s="49"/>
      <c r="G979" s="49"/>
      <c r="H979" s="49"/>
      <c r="I979" s="49"/>
    </row>
    <row r="980" spans="1:9" ht="14.25" x14ac:dyDescent="0.2">
      <c r="A980" s="49"/>
      <c r="B980" s="49"/>
      <c r="C980" s="49"/>
      <c r="D980" s="49"/>
      <c r="E980" s="49"/>
      <c r="F980" s="49"/>
      <c r="G980" s="49"/>
      <c r="H980" s="49"/>
      <c r="I980" s="49"/>
    </row>
    <row r="981" spans="1:9" ht="14.25" x14ac:dyDescent="0.2">
      <c r="A981" s="49"/>
      <c r="B981" s="49"/>
      <c r="C981" s="49"/>
      <c r="D981" s="49"/>
      <c r="E981" s="49"/>
      <c r="F981" s="49"/>
      <c r="G981" s="49"/>
      <c r="H981" s="49"/>
      <c r="I981" s="49"/>
    </row>
    <row r="982" spans="1:9" ht="14.25" x14ac:dyDescent="0.2">
      <c r="A982" s="49"/>
      <c r="B982" s="49"/>
      <c r="C982" s="49"/>
      <c r="D982" s="49"/>
      <c r="E982" s="49"/>
      <c r="F982" s="49"/>
      <c r="G982" s="49"/>
      <c r="H982" s="49"/>
      <c r="I982" s="49"/>
    </row>
    <row r="983" spans="1:9" ht="14.25" x14ac:dyDescent="0.2">
      <c r="A983" s="49"/>
      <c r="B983" s="49"/>
      <c r="C983" s="49"/>
      <c r="D983" s="49"/>
      <c r="E983" s="49"/>
      <c r="F983" s="49"/>
      <c r="G983" s="49"/>
      <c r="H983" s="49"/>
      <c r="I983" s="49"/>
    </row>
    <row r="984" spans="1:9" ht="14.25" x14ac:dyDescent="0.2">
      <c r="A984" s="49"/>
      <c r="B984" s="49"/>
      <c r="C984" s="49"/>
      <c r="D984" s="49"/>
      <c r="E984" s="49"/>
      <c r="F984" s="49"/>
      <c r="G984" s="49"/>
      <c r="H984" s="49"/>
      <c r="I984" s="49"/>
    </row>
    <row r="985" spans="1:9" ht="14.25" x14ac:dyDescent="0.2">
      <c r="A985" s="49"/>
      <c r="B985" s="49"/>
      <c r="C985" s="49"/>
      <c r="D985" s="49"/>
      <c r="E985" s="49"/>
      <c r="F985" s="49"/>
      <c r="G985" s="49"/>
      <c r="H985" s="49"/>
      <c r="I985" s="49"/>
    </row>
    <row r="986" spans="1:9" ht="14.25" x14ac:dyDescent="0.2">
      <c r="A986" s="49"/>
      <c r="B986" s="49"/>
      <c r="C986" s="49"/>
      <c r="D986" s="49"/>
      <c r="E986" s="49"/>
      <c r="F986" s="49"/>
      <c r="G986" s="49"/>
      <c r="H986" s="49"/>
      <c r="I986" s="49"/>
    </row>
  </sheetData>
  <mergeCells count="3">
    <mergeCell ref="A9:H9"/>
    <mergeCell ref="A37:H37"/>
    <mergeCell ref="A43:H43"/>
  </mergeCells>
  <phoneticPr fontId="25" type="noConversion"/>
  <dataValidations count="1">
    <dataValidation type="list" allowBlank="1" showInputMessage="1" showErrorMessage="1" sqref="H44 H10:H36 H38:H42" xr:uid="{56A0B5A0-1DED-4730-B06C-80F76DDFB8EA}">
      <formula1>"'Pass,'Fail,'Untest,'N/A"</formula1>
    </dataValidation>
  </dataValidations>
  <hyperlinks>
    <hyperlink ref="B2" location="null!A1" display="Back to TestReport" xr:uid="{00000000-0004-0000-0700-000000000000}"/>
  </hyperlink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6F62-0F69-4CAE-A4A9-C5427C4C346D}">
  <sheetPr>
    <outlinePr summaryBelow="0" summaryRight="0"/>
  </sheetPr>
  <dimension ref="A1:AB975"/>
  <sheetViews>
    <sheetView zoomScale="85" zoomScaleNormal="85" workbookViewId="0">
      <pane xSplit="1" ySplit="8" topLeftCell="F37" activePane="bottomRight" state="frozen"/>
      <selection pane="topRight" activeCell="B1" sqref="B1"/>
      <selection pane="bottomLeft" activeCell="A9" sqref="A9"/>
      <selection pane="bottomRight" activeCell="H34" sqref="H34:H42"/>
    </sheetView>
  </sheetViews>
  <sheetFormatPr defaultColWidth="12.625" defaultRowHeight="13.5" x14ac:dyDescent="0.15"/>
  <cols>
    <col min="1" max="1" width="12.75" customWidth="1"/>
    <col min="2" max="2" width="23.875" bestFit="1" customWidth="1"/>
    <col min="3" max="3" width="22.75" customWidth="1"/>
    <col min="4" max="4" width="20.25" customWidth="1"/>
    <col min="5" max="5" width="15.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COUNTIF($A$10:$A$841, "TC*")</f>
        <v>34</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65</v>
      </c>
      <c r="D3" s="50"/>
      <c r="E3" s="50"/>
      <c r="F3" s="50"/>
      <c r="G3" s="134" t="s">
        <v>25</v>
      </c>
      <c r="H3" s="64">
        <f>(COUNTIF(H10:H29,"Pass"))</f>
        <v>4</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(COUNTIF(H10:H29,"Fail"))</f>
        <v>0</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(COUNTIF(H10:H45,"Untest"))</f>
        <v>20</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11.76%</v>
      </c>
      <c r="D6" s="50"/>
      <c r="E6" s="50"/>
      <c r="F6" s="50"/>
      <c r="G6" s="84" t="s">
        <v>30</v>
      </c>
      <c r="H6" s="85">
        <f>(COUNTIF(H10:H29,"N/A"))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17" t="s">
        <v>31</v>
      </c>
      <c r="B8" s="117" t="s">
        <v>32</v>
      </c>
      <c r="C8" s="118" t="s">
        <v>21</v>
      </c>
      <c r="D8" s="117" t="s">
        <v>14</v>
      </c>
      <c r="E8" s="118" t="s">
        <v>33</v>
      </c>
      <c r="F8" s="117" t="s">
        <v>34</v>
      </c>
      <c r="G8" s="118" t="s">
        <v>35</v>
      </c>
      <c r="H8" s="117" t="s">
        <v>64</v>
      </c>
      <c r="I8" s="118" t="s">
        <v>36</v>
      </c>
      <c r="J8" s="58"/>
      <c r="K8" s="58"/>
      <c r="L8" s="58"/>
      <c r="M8" s="58"/>
      <c r="N8" s="58"/>
      <c r="O8" s="58"/>
      <c r="P8" s="58"/>
      <c r="Q8" s="58"/>
      <c r="R8" s="58"/>
      <c r="S8" s="58"/>
      <c r="T8" s="58"/>
      <c r="U8" s="58"/>
      <c r="V8" s="58"/>
      <c r="W8" s="58"/>
      <c r="X8" s="58"/>
      <c r="Y8" s="58"/>
      <c r="Z8" s="58"/>
      <c r="AA8" s="49"/>
      <c r="AB8" s="49"/>
    </row>
    <row r="9" spans="1:28" ht="15" customHeight="1" x14ac:dyDescent="0.2">
      <c r="A9" s="174" t="s">
        <v>85</v>
      </c>
      <c r="B9" s="175"/>
      <c r="C9" s="175"/>
      <c r="D9" s="175"/>
      <c r="E9" s="175"/>
      <c r="F9" s="175"/>
      <c r="G9" s="175"/>
      <c r="H9" s="175"/>
      <c r="I9" s="116"/>
      <c r="J9" s="86"/>
      <c r="K9" s="86"/>
      <c r="L9" s="86"/>
      <c r="M9" s="86"/>
      <c r="N9" s="86"/>
      <c r="O9" s="86"/>
      <c r="P9" s="86"/>
      <c r="Q9" s="86"/>
      <c r="R9" s="86"/>
      <c r="S9" s="86"/>
      <c r="T9" s="86"/>
      <c r="U9" s="86"/>
      <c r="V9" s="86"/>
      <c r="W9" s="86"/>
      <c r="X9" s="86"/>
      <c r="Y9" s="86"/>
      <c r="Z9" s="86"/>
      <c r="AA9" s="49"/>
      <c r="AB9" s="49"/>
    </row>
    <row r="10" spans="1:28" ht="156.75" x14ac:dyDescent="0.2">
      <c r="A10" s="92" t="s">
        <v>95</v>
      </c>
      <c r="B10" s="92" t="s">
        <v>760</v>
      </c>
      <c r="C10" s="92" t="s">
        <v>745</v>
      </c>
      <c r="D10" s="92" t="s">
        <v>762</v>
      </c>
      <c r="E10" s="92"/>
      <c r="F10" s="92" t="s">
        <v>773</v>
      </c>
      <c r="G10" s="92"/>
      <c r="H10" s="92" t="s">
        <v>25</v>
      </c>
      <c r="I10" s="92"/>
      <c r="J10" s="8"/>
      <c r="K10" s="8"/>
      <c r="L10" s="8"/>
      <c r="M10" s="8"/>
      <c r="N10" s="8"/>
      <c r="O10" s="8"/>
      <c r="P10" s="8"/>
      <c r="Q10" s="8"/>
      <c r="R10" s="8"/>
      <c r="S10" s="8"/>
      <c r="T10" s="8"/>
      <c r="U10" s="8"/>
      <c r="V10" s="8"/>
      <c r="W10" s="8"/>
      <c r="X10" s="8"/>
      <c r="Y10" s="8"/>
      <c r="Z10" s="8"/>
      <c r="AA10" s="49"/>
      <c r="AB10" s="49"/>
    </row>
    <row r="11" spans="1:28" ht="71.25" x14ac:dyDescent="0.2">
      <c r="A11" s="92" t="s">
        <v>96</v>
      </c>
      <c r="B11" s="92" t="s">
        <v>774</v>
      </c>
      <c r="C11" s="92" t="s">
        <v>745</v>
      </c>
      <c r="D11" s="92" t="s">
        <v>763</v>
      </c>
      <c r="E11" s="92"/>
      <c r="F11" s="92" t="s">
        <v>742</v>
      </c>
      <c r="G11" s="92"/>
      <c r="H11" s="92" t="s">
        <v>25</v>
      </c>
      <c r="I11" s="92"/>
      <c r="J11" s="8"/>
      <c r="K11" s="8"/>
      <c r="L11" s="8"/>
      <c r="M11" s="8"/>
      <c r="N11" s="8"/>
      <c r="O11" s="8"/>
      <c r="P11" s="8"/>
      <c r="Q11" s="8"/>
      <c r="R11" s="8"/>
      <c r="S11" s="8"/>
      <c r="T11" s="8"/>
      <c r="U11" s="8"/>
      <c r="V11" s="8"/>
      <c r="W11" s="8"/>
      <c r="X11" s="8"/>
      <c r="Y11" s="8"/>
      <c r="Z11" s="8"/>
      <c r="AA11" s="49"/>
      <c r="AB11" s="49"/>
    </row>
    <row r="12" spans="1:28" ht="85.5" x14ac:dyDescent="0.2">
      <c r="A12" s="92" t="s">
        <v>87</v>
      </c>
      <c r="B12" s="92" t="s">
        <v>775</v>
      </c>
      <c r="C12" s="92" t="s">
        <v>746</v>
      </c>
      <c r="D12" s="92" t="s">
        <v>764</v>
      </c>
      <c r="E12" s="92"/>
      <c r="F12" s="92" t="s">
        <v>799</v>
      </c>
      <c r="G12" s="92"/>
      <c r="H12" s="92" t="s">
        <v>28</v>
      </c>
      <c r="I12" s="92"/>
      <c r="J12" s="8"/>
      <c r="K12" s="8"/>
      <c r="L12" s="8"/>
      <c r="M12" s="8"/>
      <c r="N12" s="8"/>
      <c r="O12" s="8"/>
      <c r="P12" s="8"/>
      <c r="Q12" s="8"/>
      <c r="R12" s="8"/>
      <c r="S12" s="8"/>
      <c r="T12" s="8"/>
      <c r="U12" s="8"/>
      <c r="V12" s="8"/>
      <c r="W12" s="8"/>
      <c r="X12" s="8"/>
      <c r="Y12" s="49"/>
      <c r="Z12" s="49"/>
      <c r="AA12" s="49"/>
      <c r="AB12" s="49"/>
    </row>
    <row r="13" spans="1:28" ht="71.25" x14ac:dyDescent="0.2">
      <c r="A13" s="92" t="s">
        <v>88</v>
      </c>
      <c r="B13" s="92" t="s">
        <v>776</v>
      </c>
      <c r="C13" s="92" t="s">
        <v>745</v>
      </c>
      <c r="D13" s="92" t="s">
        <v>765</v>
      </c>
      <c r="E13" s="92"/>
      <c r="F13" s="92" t="s">
        <v>813</v>
      </c>
      <c r="G13" s="92"/>
      <c r="H13" s="92" t="s">
        <v>28</v>
      </c>
      <c r="I13" s="92"/>
      <c r="J13" s="8"/>
      <c r="K13" s="8"/>
      <c r="L13" s="8"/>
      <c r="M13" s="8"/>
      <c r="N13" s="8"/>
      <c r="O13" s="8"/>
      <c r="P13" s="8"/>
      <c r="Q13" s="8"/>
      <c r="R13" s="8"/>
      <c r="S13" s="8"/>
      <c r="T13" s="8"/>
      <c r="U13" s="8"/>
      <c r="V13" s="8"/>
      <c r="W13" s="8"/>
      <c r="X13" s="8"/>
      <c r="Y13" s="49"/>
      <c r="Z13" s="49"/>
      <c r="AA13" s="49"/>
      <c r="AB13" s="49"/>
    </row>
    <row r="14" spans="1:28" ht="71.25" x14ac:dyDescent="0.2">
      <c r="A14" s="92" t="s">
        <v>89</v>
      </c>
      <c r="B14" s="92" t="s">
        <v>738</v>
      </c>
      <c r="C14" s="92" t="s">
        <v>745</v>
      </c>
      <c r="D14" s="92" t="s">
        <v>814</v>
      </c>
      <c r="E14" s="92"/>
      <c r="F14" s="92" t="s">
        <v>777</v>
      </c>
      <c r="G14" s="92"/>
      <c r="H14" s="92" t="s">
        <v>28</v>
      </c>
      <c r="I14" s="92"/>
      <c r="J14" s="8"/>
      <c r="K14" s="8"/>
      <c r="L14" s="8"/>
      <c r="M14" s="8"/>
      <c r="N14" s="8"/>
      <c r="O14" s="8"/>
      <c r="P14" s="8"/>
      <c r="Q14" s="8"/>
      <c r="R14" s="8"/>
      <c r="S14" s="8"/>
      <c r="T14" s="8"/>
      <c r="U14" s="8"/>
      <c r="V14" s="8"/>
      <c r="W14" s="8"/>
      <c r="X14" s="8"/>
      <c r="Y14" s="49"/>
      <c r="Z14" s="49"/>
      <c r="AA14" s="49"/>
      <c r="AB14" s="49"/>
    </row>
    <row r="15" spans="1:28" ht="85.5" x14ac:dyDescent="0.2">
      <c r="A15" s="92" t="s">
        <v>90</v>
      </c>
      <c r="B15" s="92" t="s">
        <v>759</v>
      </c>
      <c r="C15" s="92" t="s">
        <v>745</v>
      </c>
      <c r="D15" s="92" t="s">
        <v>809</v>
      </c>
      <c r="E15" s="92"/>
      <c r="F15" s="92" t="s">
        <v>1310</v>
      </c>
      <c r="G15" s="92"/>
      <c r="H15" s="92" t="s">
        <v>25</v>
      </c>
      <c r="I15" s="92"/>
      <c r="J15" s="8" t="s">
        <v>733</v>
      </c>
      <c r="K15" s="8"/>
      <c r="L15" s="8"/>
      <c r="M15" s="8"/>
      <c r="N15" s="8"/>
      <c r="O15" s="8"/>
      <c r="P15" s="8"/>
      <c r="Q15" s="8"/>
      <c r="R15" s="8"/>
      <c r="S15" s="8"/>
      <c r="T15" s="8"/>
      <c r="U15" s="8"/>
      <c r="V15" s="8"/>
      <c r="W15" s="8"/>
      <c r="X15" s="8"/>
      <c r="Y15" s="49"/>
      <c r="Z15" s="49"/>
      <c r="AA15" s="49"/>
      <c r="AB15" s="49"/>
    </row>
    <row r="16" spans="1:28" ht="71.25" x14ac:dyDescent="0.2">
      <c r="A16" s="92" t="s">
        <v>91</v>
      </c>
      <c r="B16" s="92" t="s">
        <v>739</v>
      </c>
      <c r="C16" s="92" t="s">
        <v>745</v>
      </c>
      <c r="D16" s="92" t="s">
        <v>810</v>
      </c>
      <c r="E16" s="92"/>
      <c r="F16" s="92" t="s">
        <v>768</v>
      </c>
      <c r="G16" s="92"/>
      <c r="H16" s="92" t="s">
        <v>28</v>
      </c>
      <c r="I16" s="92"/>
      <c r="J16" s="8"/>
      <c r="K16" s="8"/>
      <c r="L16" s="8"/>
      <c r="M16" s="8"/>
      <c r="N16" s="8"/>
      <c r="O16" s="8"/>
      <c r="P16" s="8"/>
      <c r="Q16" s="8"/>
      <c r="R16" s="8"/>
      <c r="S16" s="8"/>
      <c r="T16" s="8"/>
      <c r="U16" s="8"/>
      <c r="V16" s="8"/>
      <c r="W16" s="8"/>
      <c r="X16" s="8"/>
      <c r="Y16" s="49"/>
      <c r="Z16" s="49"/>
      <c r="AA16" s="49"/>
      <c r="AB16" s="49"/>
    </row>
    <row r="17" spans="1:28" ht="71.25" x14ac:dyDescent="0.2">
      <c r="A17" s="92" t="s">
        <v>92</v>
      </c>
      <c r="B17" s="92" t="s">
        <v>747</v>
      </c>
      <c r="C17" s="92" t="s">
        <v>748</v>
      </c>
      <c r="D17" s="92" t="s">
        <v>778</v>
      </c>
      <c r="E17" s="92"/>
      <c r="F17" s="92" t="s">
        <v>815</v>
      </c>
      <c r="G17" s="92"/>
      <c r="H17" s="92" t="s">
        <v>25</v>
      </c>
      <c r="I17" s="92"/>
      <c r="J17" s="8"/>
      <c r="K17" s="8"/>
      <c r="L17" s="8"/>
      <c r="M17" s="8"/>
      <c r="N17" s="8"/>
      <c r="O17" s="8"/>
      <c r="P17" s="8"/>
      <c r="Q17" s="8"/>
      <c r="R17" s="8"/>
      <c r="S17" s="8"/>
      <c r="T17" s="8"/>
      <c r="U17" s="8"/>
      <c r="V17" s="8"/>
      <c r="W17" s="8"/>
      <c r="X17" s="8"/>
      <c r="Y17" s="49"/>
      <c r="Z17" s="49"/>
      <c r="AA17" s="49"/>
      <c r="AB17" s="49"/>
    </row>
    <row r="18" spans="1:28" ht="57" x14ac:dyDescent="0.2">
      <c r="A18" s="92" t="s">
        <v>93</v>
      </c>
      <c r="B18" s="92" t="s">
        <v>749</v>
      </c>
      <c r="C18" s="92" t="s">
        <v>750</v>
      </c>
      <c r="D18" s="92" t="s">
        <v>779</v>
      </c>
      <c r="E18" s="92"/>
      <c r="F18" s="92" t="s">
        <v>815</v>
      </c>
      <c r="G18" s="92"/>
      <c r="H18" s="92" t="s">
        <v>28</v>
      </c>
      <c r="I18" s="92"/>
      <c r="J18" s="73"/>
      <c r="K18" s="73"/>
      <c r="L18" s="73"/>
      <c r="M18" s="73"/>
      <c r="N18" s="73"/>
      <c r="O18" s="73"/>
      <c r="P18" s="73"/>
      <c r="Q18" s="73"/>
      <c r="R18" s="73"/>
      <c r="S18" s="73"/>
      <c r="T18" s="73"/>
      <c r="U18" s="73"/>
      <c r="V18" s="73"/>
      <c r="W18" s="73"/>
      <c r="X18" s="73"/>
      <c r="Y18" s="49"/>
      <c r="Z18" s="49"/>
      <c r="AA18" s="49"/>
      <c r="AB18" s="49"/>
    </row>
    <row r="19" spans="1:28" ht="71.25" x14ac:dyDescent="0.2">
      <c r="A19" s="92" t="s">
        <v>94</v>
      </c>
      <c r="B19" s="92" t="s">
        <v>751</v>
      </c>
      <c r="C19" s="92" t="s">
        <v>743</v>
      </c>
      <c r="D19" s="92" t="s">
        <v>780</v>
      </c>
      <c r="E19" s="92"/>
      <c r="F19" s="92" t="s">
        <v>816</v>
      </c>
      <c r="G19" s="92"/>
      <c r="H19" s="92" t="s">
        <v>28</v>
      </c>
      <c r="I19" s="92"/>
      <c r="J19" s="73"/>
      <c r="K19" s="73"/>
      <c r="L19" s="73"/>
      <c r="M19" s="73"/>
      <c r="N19" s="73"/>
      <c r="O19" s="73"/>
      <c r="P19" s="73"/>
      <c r="Q19" s="73"/>
      <c r="R19" s="73"/>
      <c r="S19" s="73"/>
      <c r="T19" s="73"/>
      <c r="U19" s="73"/>
      <c r="V19" s="73"/>
      <c r="W19" s="73"/>
      <c r="X19" s="73"/>
      <c r="Y19" s="49"/>
      <c r="Z19" s="49"/>
      <c r="AA19" s="49"/>
      <c r="AB19" s="49"/>
    </row>
    <row r="20" spans="1:28" ht="57" x14ac:dyDescent="0.2">
      <c r="A20" s="92" t="s">
        <v>269</v>
      </c>
      <c r="B20" s="92" t="s">
        <v>744</v>
      </c>
      <c r="C20" s="92" t="s">
        <v>752</v>
      </c>
      <c r="D20" s="92" t="s">
        <v>779</v>
      </c>
      <c r="E20" s="92"/>
      <c r="F20" s="92" t="s">
        <v>769</v>
      </c>
      <c r="G20" s="92"/>
      <c r="H20" s="92" t="s">
        <v>28</v>
      </c>
      <c r="I20" s="92"/>
      <c r="J20" s="73"/>
      <c r="K20" s="73"/>
      <c r="L20" s="73"/>
      <c r="M20" s="73"/>
      <c r="N20" s="73"/>
      <c r="O20" s="73"/>
      <c r="P20" s="73"/>
      <c r="Q20" s="73"/>
      <c r="R20" s="73"/>
      <c r="S20" s="73"/>
      <c r="T20" s="73"/>
      <c r="U20" s="73"/>
      <c r="V20" s="73"/>
      <c r="W20" s="73"/>
      <c r="X20" s="73"/>
      <c r="Y20" s="49"/>
      <c r="Z20" s="49"/>
      <c r="AA20" s="49"/>
      <c r="AB20" s="49"/>
    </row>
    <row r="21" spans="1:28" ht="71.25" x14ac:dyDescent="0.2">
      <c r="A21" s="92" t="s">
        <v>270</v>
      </c>
      <c r="B21" s="92" t="s">
        <v>687</v>
      </c>
      <c r="C21" s="92" t="s">
        <v>745</v>
      </c>
      <c r="D21" s="92" t="s">
        <v>701</v>
      </c>
      <c r="E21" s="92" t="s">
        <v>702</v>
      </c>
      <c r="F21" s="92" t="s">
        <v>770</v>
      </c>
      <c r="G21" s="92"/>
      <c r="H21" s="92" t="s">
        <v>28</v>
      </c>
      <c r="I21" s="92"/>
      <c r="J21" s="73"/>
      <c r="K21" s="73"/>
      <c r="L21" s="73"/>
      <c r="M21" s="73"/>
      <c r="N21" s="73"/>
      <c r="O21" s="73"/>
      <c r="P21" s="73"/>
      <c r="Q21" s="73"/>
      <c r="R21" s="73"/>
      <c r="S21" s="73"/>
      <c r="T21" s="73"/>
      <c r="U21" s="73"/>
      <c r="V21" s="73"/>
      <c r="W21" s="73"/>
      <c r="X21" s="73"/>
      <c r="Y21" s="49"/>
      <c r="Z21" s="49"/>
      <c r="AA21" s="49"/>
      <c r="AB21" s="49"/>
    </row>
    <row r="22" spans="1:28" ht="114" x14ac:dyDescent="0.2">
      <c r="A22" s="92" t="s">
        <v>271</v>
      </c>
      <c r="B22" s="92" t="s">
        <v>688</v>
      </c>
      <c r="C22" s="92" t="s">
        <v>745</v>
      </c>
      <c r="D22" s="92" t="s">
        <v>703</v>
      </c>
      <c r="E22" s="92" t="s">
        <v>822</v>
      </c>
      <c r="F22" s="92" t="s">
        <v>704</v>
      </c>
      <c r="G22" s="92"/>
      <c r="H22" s="92" t="s">
        <v>28</v>
      </c>
      <c r="I22" s="92"/>
      <c r="J22" s="8"/>
      <c r="K22" s="8"/>
      <c r="L22" s="8"/>
      <c r="M22" s="8"/>
      <c r="N22" s="8"/>
      <c r="O22" s="8"/>
      <c r="P22" s="8"/>
      <c r="Q22" s="8"/>
      <c r="R22" s="8"/>
      <c r="S22" s="8"/>
      <c r="T22" s="8"/>
      <c r="U22" s="8"/>
      <c r="V22" s="8"/>
      <c r="W22" s="8"/>
      <c r="X22" s="8"/>
      <c r="Y22" s="49"/>
      <c r="Z22" s="49"/>
      <c r="AA22" s="49"/>
      <c r="AB22" s="49"/>
    </row>
    <row r="23" spans="1:28" ht="71.25" x14ac:dyDescent="0.2">
      <c r="A23" s="92" t="s">
        <v>272</v>
      </c>
      <c r="B23" s="92" t="s">
        <v>737</v>
      </c>
      <c r="C23" s="92" t="s">
        <v>745</v>
      </c>
      <c r="D23" s="92" t="s">
        <v>705</v>
      </c>
      <c r="E23" s="92" t="s">
        <v>706</v>
      </c>
      <c r="F23" s="92" t="s">
        <v>569</v>
      </c>
      <c r="G23" s="92"/>
      <c r="H23" s="92" t="s">
        <v>28</v>
      </c>
      <c r="I23" s="92"/>
      <c r="J23" s="73"/>
      <c r="K23" s="73"/>
      <c r="L23" s="73"/>
      <c r="M23" s="73"/>
      <c r="N23" s="73"/>
      <c r="O23" s="73"/>
      <c r="P23" s="73"/>
      <c r="Q23" s="73"/>
      <c r="R23" s="73"/>
      <c r="S23" s="73"/>
      <c r="T23" s="73"/>
      <c r="U23" s="73"/>
      <c r="V23" s="73"/>
      <c r="W23" s="73"/>
      <c r="X23" s="73"/>
      <c r="Y23" s="49"/>
      <c r="Z23" s="49"/>
      <c r="AA23" s="49"/>
      <c r="AB23" s="49"/>
    </row>
    <row r="24" spans="1:28" ht="71.25" x14ac:dyDescent="0.2">
      <c r="A24" s="92" t="s">
        <v>273</v>
      </c>
      <c r="B24" s="92" t="s">
        <v>736</v>
      </c>
      <c r="C24" s="92" t="s">
        <v>745</v>
      </c>
      <c r="D24" s="92" t="s">
        <v>707</v>
      </c>
      <c r="E24" s="92" t="s">
        <v>611</v>
      </c>
      <c r="F24" s="92" t="s">
        <v>771</v>
      </c>
      <c r="G24" s="92"/>
      <c r="H24" s="92" t="s">
        <v>28</v>
      </c>
      <c r="I24" s="92"/>
      <c r="J24" s="73"/>
      <c r="K24" s="73"/>
      <c r="L24" s="73"/>
      <c r="M24" s="73"/>
      <c r="N24" s="73"/>
      <c r="O24" s="73"/>
      <c r="P24" s="73"/>
      <c r="Q24" s="73"/>
      <c r="R24" s="73"/>
      <c r="S24" s="73"/>
      <c r="T24" s="73"/>
      <c r="U24" s="73"/>
      <c r="V24" s="73"/>
      <c r="W24" s="73"/>
      <c r="X24" s="73"/>
      <c r="Y24" s="49"/>
      <c r="Z24" s="49"/>
      <c r="AA24" s="49"/>
      <c r="AB24" s="49"/>
    </row>
    <row r="25" spans="1:28" ht="71.25" x14ac:dyDescent="0.2">
      <c r="A25" s="92" t="s">
        <v>274</v>
      </c>
      <c r="B25" s="92" t="s">
        <v>735</v>
      </c>
      <c r="C25" s="92" t="s">
        <v>745</v>
      </c>
      <c r="D25" s="92" t="s">
        <v>708</v>
      </c>
      <c r="E25" s="92" t="s">
        <v>613</v>
      </c>
      <c r="F25" s="92" t="s">
        <v>772</v>
      </c>
      <c r="G25" s="92"/>
      <c r="H25" s="92" t="s">
        <v>28</v>
      </c>
      <c r="I25" s="92"/>
      <c r="J25" s="8"/>
      <c r="K25" s="8"/>
      <c r="L25" s="8"/>
      <c r="M25" s="8"/>
      <c r="N25" s="8"/>
      <c r="O25" s="8"/>
      <c r="P25" s="8"/>
      <c r="Q25" s="8"/>
      <c r="R25" s="8"/>
      <c r="S25" s="8"/>
      <c r="T25" s="8"/>
      <c r="U25" s="8"/>
      <c r="V25" s="8"/>
      <c r="W25" s="8"/>
      <c r="X25" s="8"/>
      <c r="Y25" s="49"/>
      <c r="Z25" s="49"/>
      <c r="AA25" s="49"/>
      <c r="AB25" s="49"/>
    </row>
    <row r="26" spans="1:28" ht="71.25" x14ac:dyDescent="0.2">
      <c r="A26" s="92" t="s">
        <v>275</v>
      </c>
      <c r="B26" s="92" t="s">
        <v>741</v>
      </c>
      <c r="C26" s="92" t="s">
        <v>745</v>
      </c>
      <c r="D26" s="92" t="s">
        <v>795</v>
      </c>
      <c r="E26" s="92" t="s">
        <v>726</v>
      </c>
      <c r="F26" s="92" t="s">
        <v>781</v>
      </c>
      <c r="G26" s="92"/>
      <c r="H26" s="92" t="s">
        <v>28</v>
      </c>
      <c r="I26" s="92"/>
      <c r="J26" s="8"/>
      <c r="K26" s="8"/>
      <c r="L26" s="8"/>
      <c r="M26" s="8"/>
      <c r="N26" s="8"/>
      <c r="O26" s="8"/>
      <c r="P26" s="8"/>
      <c r="Q26" s="8"/>
      <c r="R26" s="8"/>
      <c r="S26" s="8"/>
      <c r="T26" s="8"/>
      <c r="U26" s="8"/>
      <c r="V26" s="8"/>
      <c r="W26" s="8"/>
      <c r="X26" s="8"/>
      <c r="Y26" s="49"/>
      <c r="Z26" s="49"/>
      <c r="AA26" s="49"/>
      <c r="AB26" s="49"/>
    </row>
    <row r="27" spans="1:28" ht="71.25" x14ac:dyDescent="0.2">
      <c r="A27" s="92" t="s">
        <v>276</v>
      </c>
      <c r="B27" s="92" t="s">
        <v>734</v>
      </c>
      <c r="C27" s="92" t="s">
        <v>753</v>
      </c>
      <c r="D27" s="92" t="s">
        <v>608</v>
      </c>
      <c r="E27" s="92" t="s">
        <v>609</v>
      </c>
      <c r="F27" s="92" t="s">
        <v>781</v>
      </c>
      <c r="G27" s="92"/>
      <c r="H27" s="92" t="s">
        <v>28</v>
      </c>
      <c r="I27" s="92"/>
      <c r="J27" s="8"/>
      <c r="K27" s="8"/>
      <c r="L27" s="8"/>
      <c r="M27" s="8"/>
      <c r="N27" s="8"/>
      <c r="O27" s="8"/>
      <c r="P27" s="8"/>
      <c r="Q27" s="8"/>
      <c r="R27" s="8"/>
      <c r="S27" s="8"/>
      <c r="T27" s="8"/>
      <c r="U27" s="8"/>
      <c r="V27" s="8"/>
      <c r="W27" s="8"/>
      <c r="X27" s="8"/>
      <c r="Y27" s="49"/>
      <c r="Z27" s="49"/>
      <c r="AA27" s="49"/>
      <c r="AB27" s="49"/>
    </row>
    <row r="28" spans="1:28" ht="57" x14ac:dyDescent="0.2">
      <c r="A28" s="92" t="s">
        <v>277</v>
      </c>
      <c r="B28" s="92" t="s">
        <v>754</v>
      </c>
      <c r="C28" s="92" t="s">
        <v>755</v>
      </c>
      <c r="D28" s="92" t="s">
        <v>709</v>
      </c>
      <c r="E28" s="92"/>
      <c r="F28" s="92" t="s">
        <v>796</v>
      </c>
      <c r="G28" s="92"/>
      <c r="H28" s="92" t="s">
        <v>28</v>
      </c>
      <c r="I28" s="92"/>
      <c r="J28" s="8"/>
      <c r="K28" s="8"/>
      <c r="L28" s="8"/>
      <c r="M28" s="8"/>
      <c r="N28" s="8"/>
      <c r="O28" s="8"/>
      <c r="P28" s="8"/>
      <c r="Q28" s="8"/>
      <c r="R28" s="8"/>
      <c r="S28" s="8"/>
      <c r="T28" s="8"/>
      <c r="U28" s="8"/>
      <c r="V28" s="8"/>
      <c r="W28" s="8"/>
      <c r="X28" s="8"/>
      <c r="Y28" s="49"/>
      <c r="Z28" s="49"/>
      <c r="AA28" s="49"/>
      <c r="AB28" s="49"/>
    </row>
    <row r="29" spans="1:28" ht="85.5" x14ac:dyDescent="0.2">
      <c r="A29" s="92" t="s">
        <v>278</v>
      </c>
      <c r="B29" s="92" t="s">
        <v>756</v>
      </c>
      <c r="C29" s="92" t="s">
        <v>757</v>
      </c>
      <c r="D29" s="92" t="s">
        <v>865</v>
      </c>
      <c r="E29" s="92"/>
      <c r="F29" s="92" t="s">
        <v>808</v>
      </c>
      <c r="G29" s="92"/>
      <c r="H29" s="92" t="s">
        <v>28</v>
      </c>
      <c r="I29" s="92"/>
      <c r="J29" s="8"/>
      <c r="K29" s="8"/>
      <c r="L29" s="8"/>
      <c r="M29" s="8"/>
      <c r="N29" s="8"/>
      <c r="O29" s="8"/>
      <c r="P29" s="8"/>
      <c r="Q29" s="8"/>
      <c r="R29" s="8"/>
      <c r="S29" s="8"/>
      <c r="T29" s="8"/>
      <c r="U29" s="8"/>
      <c r="V29" s="8"/>
      <c r="W29" s="8"/>
      <c r="X29" s="8"/>
      <c r="Y29" s="49"/>
      <c r="Z29" s="49"/>
      <c r="AA29" s="49"/>
      <c r="AB29" s="49"/>
    </row>
    <row r="30" spans="1:28" ht="99.75" x14ac:dyDescent="0.2">
      <c r="A30" s="92" t="s">
        <v>279</v>
      </c>
      <c r="B30" s="92" t="s">
        <v>782</v>
      </c>
      <c r="C30" s="92" t="s">
        <v>745</v>
      </c>
      <c r="D30" s="92" t="s">
        <v>866</v>
      </c>
      <c r="E30" s="92"/>
      <c r="F30" s="92" t="s">
        <v>817</v>
      </c>
      <c r="G30" s="92"/>
      <c r="H30" s="92" t="s">
        <v>28</v>
      </c>
      <c r="I30" s="92"/>
      <c r="J30" s="8"/>
      <c r="K30" s="8"/>
      <c r="L30" s="8"/>
      <c r="M30" s="8"/>
      <c r="N30" s="8"/>
      <c r="O30" s="8"/>
      <c r="P30" s="8"/>
      <c r="Q30" s="8"/>
      <c r="R30" s="8"/>
      <c r="S30" s="8"/>
      <c r="T30" s="8"/>
      <c r="U30" s="8"/>
      <c r="V30" s="8"/>
      <c r="W30" s="8"/>
      <c r="X30" s="8"/>
      <c r="Y30" s="49"/>
      <c r="Z30" s="49"/>
      <c r="AA30" s="49"/>
      <c r="AB30" s="49"/>
    </row>
    <row r="31" spans="1:28" ht="71.25" x14ac:dyDescent="0.2">
      <c r="A31" s="92" t="s">
        <v>280</v>
      </c>
      <c r="B31" s="92" t="s">
        <v>758</v>
      </c>
      <c r="C31" s="92" t="s">
        <v>745</v>
      </c>
      <c r="D31" s="92" t="s">
        <v>867</v>
      </c>
      <c r="E31" s="92"/>
      <c r="F31" s="92" t="s">
        <v>811</v>
      </c>
      <c r="G31" s="92"/>
      <c r="H31" s="92" t="s">
        <v>28</v>
      </c>
      <c r="I31" s="92"/>
      <c r="J31" s="8"/>
      <c r="K31" s="8"/>
      <c r="L31" s="8"/>
      <c r="M31" s="8"/>
      <c r="N31" s="8"/>
      <c r="O31" s="8"/>
      <c r="P31" s="8"/>
      <c r="Q31" s="8"/>
      <c r="R31" s="8"/>
      <c r="S31" s="8"/>
      <c r="T31" s="8"/>
      <c r="U31" s="8"/>
      <c r="V31" s="8"/>
      <c r="W31" s="8"/>
      <c r="X31" s="8"/>
      <c r="Y31" s="49"/>
      <c r="Z31" s="49"/>
      <c r="AA31" s="49"/>
      <c r="AB31" s="49"/>
    </row>
    <row r="32" spans="1:28" ht="85.5" x14ac:dyDescent="0.2">
      <c r="A32" s="92" t="s">
        <v>281</v>
      </c>
      <c r="B32" s="92" t="s">
        <v>740</v>
      </c>
      <c r="C32" s="92" t="s">
        <v>447</v>
      </c>
      <c r="D32" s="92" t="s">
        <v>694</v>
      </c>
      <c r="E32" s="92" t="s">
        <v>727</v>
      </c>
      <c r="F32" s="92" t="s">
        <v>797</v>
      </c>
      <c r="G32" s="92"/>
      <c r="H32" s="92" t="s">
        <v>25</v>
      </c>
      <c r="I32" s="143"/>
      <c r="J32" s="8"/>
      <c r="K32" s="8"/>
      <c r="L32" s="8"/>
      <c r="M32" s="8"/>
      <c r="N32" s="8"/>
      <c r="O32" s="8"/>
      <c r="P32" s="8"/>
      <c r="Q32" s="8"/>
      <c r="R32" s="8"/>
      <c r="S32" s="8"/>
      <c r="T32" s="8"/>
      <c r="U32" s="8"/>
      <c r="V32" s="8"/>
      <c r="W32" s="8"/>
      <c r="X32" s="8"/>
      <c r="Y32" s="49"/>
      <c r="Z32" s="49"/>
      <c r="AA32" s="49"/>
      <c r="AB32" s="49"/>
    </row>
    <row r="33" spans="1:28" ht="15" x14ac:dyDescent="0.2">
      <c r="A33" s="172" t="s">
        <v>86</v>
      </c>
      <c r="B33" s="173"/>
      <c r="C33" s="173"/>
      <c r="D33" s="173"/>
      <c r="E33" s="173"/>
      <c r="F33" s="173"/>
      <c r="G33" s="173"/>
      <c r="H33" s="173"/>
      <c r="I33" s="131"/>
      <c r="J33" s="86"/>
      <c r="K33" s="86"/>
      <c r="L33" s="86"/>
      <c r="M33" s="86"/>
      <c r="N33" s="86"/>
      <c r="O33" s="86"/>
      <c r="P33" s="86"/>
      <c r="Q33" s="86"/>
      <c r="R33" s="86"/>
      <c r="S33" s="86"/>
      <c r="T33" s="86"/>
      <c r="U33" s="86"/>
      <c r="V33" s="86"/>
      <c r="W33" s="86"/>
      <c r="X33" s="86"/>
      <c r="Y33" s="86"/>
      <c r="Z33" s="86"/>
      <c r="AA33" s="49"/>
      <c r="AB33" s="49"/>
    </row>
    <row r="34" spans="1:28" ht="71.25" x14ac:dyDescent="0.2">
      <c r="A34" s="92" t="s">
        <v>282</v>
      </c>
      <c r="B34" s="92" t="s">
        <v>689</v>
      </c>
      <c r="C34" s="92" t="s">
        <v>695</v>
      </c>
      <c r="D34" s="92" t="s">
        <v>783</v>
      </c>
      <c r="E34" s="92"/>
      <c r="F34" s="92" t="s">
        <v>784</v>
      </c>
      <c r="G34" s="92"/>
      <c r="H34" s="92" t="s">
        <v>25</v>
      </c>
      <c r="I34" s="144"/>
      <c r="J34" s="8"/>
      <c r="K34" s="8"/>
      <c r="L34" s="8"/>
      <c r="M34" s="8"/>
      <c r="N34" s="8"/>
      <c r="O34" s="8"/>
      <c r="P34" s="8"/>
      <c r="Q34" s="8"/>
      <c r="R34" s="8"/>
      <c r="S34" s="8"/>
      <c r="T34" s="8"/>
      <c r="U34" s="8"/>
      <c r="V34" s="8"/>
      <c r="W34" s="8"/>
      <c r="X34" s="8"/>
      <c r="Y34" s="49"/>
      <c r="Z34" s="49"/>
      <c r="AA34" s="49"/>
      <c r="AB34" s="49"/>
    </row>
    <row r="35" spans="1:28" ht="57" x14ac:dyDescent="0.2">
      <c r="A35" s="92" t="s">
        <v>283</v>
      </c>
      <c r="B35" s="92" t="s">
        <v>690</v>
      </c>
      <c r="C35" s="92" t="s">
        <v>696</v>
      </c>
      <c r="D35" s="92" t="s">
        <v>785</v>
      </c>
      <c r="E35" s="92"/>
      <c r="F35" s="92" t="s">
        <v>798</v>
      </c>
      <c r="G35" s="92"/>
      <c r="H35" s="92" t="s">
        <v>25</v>
      </c>
      <c r="I35" s="92"/>
      <c r="J35" s="8"/>
      <c r="K35" s="8"/>
      <c r="L35" s="8"/>
      <c r="M35" s="8"/>
      <c r="N35" s="8"/>
      <c r="O35" s="8"/>
      <c r="P35" s="8"/>
      <c r="Q35" s="8"/>
      <c r="R35" s="8"/>
      <c r="S35" s="8"/>
      <c r="T35" s="8"/>
      <c r="U35" s="8"/>
      <c r="V35" s="8"/>
      <c r="W35" s="8"/>
      <c r="X35" s="8"/>
      <c r="Y35" s="49"/>
      <c r="Z35" s="49"/>
      <c r="AA35" s="49"/>
      <c r="AB35" s="49"/>
    </row>
    <row r="36" spans="1:28" ht="57" x14ac:dyDescent="0.2">
      <c r="A36" s="92" t="s">
        <v>284</v>
      </c>
      <c r="B36" s="92" t="s">
        <v>786</v>
      </c>
      <c r="C36" s="92" t="s">
        <v>787</v>
      </c>
      <c r="D36" s="92" t="s">
        <v>788</v>
      </c>
      <c r="E36" s="92"/>
      <c r="F36" s="92" t="s">
        <v>800</v>
      </c>
      <c r="G36" s="92"/>
      <c r="H36" s="92" t="s">
        <v>25</v>
      </c>
      <c r="I36" s="92"/>
      <c r="J36" s="8"/>
      <c r="K36" s="8"/>
      <c r="L36" s="8"/>
      <c r="M36" s="8"/>
      <c r="N36" s="8"/>
      <c r="O36" s="8"/>
      <c r="P36" s="8"/>
      <c r="Q36" s="8"/>
      <c r="R36" s="8"/>
      <c r="S36" s="8"/>
      <c r="T36" s="8"/>
      <c r="U36" s="8"/>
      <c r="V36" s="8"/>
      <c r="W36" s="8"/>
      <c r="X36" s="8"/>
      <c r="Y36" s="49"/>
      <c r="Z36" s="49"/>
      <c r="AA36" s="49"/>
      <c r="AB36" s="49"/>
    </row>
    <row r="37" spans="1:28" ht="42.75" x14ac:dyDescent="0.2">
      <c r="A37" s="92" t="s">
        <v>285</v>
      </c>
      <c r="B37" s="92" t="s">
        <v>789</v>
      </c>
      <c r="C37" s="92" t="s">
        <v>697</v>
      </c>
      <c r="D37" s="92" t="s">
        <v>698</v>
      </c>
      <c r="E37" s="92"/>
      <c r="F37" s="92" t="s">
        <v>803</v>
      </c>
      <c r="G37" s="92"/>
      <c r="H37" s="92" t="s">
        <v>25</v>
      </c>
      <c r="I37" s="92"/>
      <c r="J37" s="8"/>
      <c r="K37" s="8"/>
      <c r="L37" s="8"/>
      <c r="M37" s="8"/>
      <c r="N37" s="8"/>
      <c r="O37" s="8"/>
      <c r="P37" s="8"/>
      <c r="Q37" s="8"/>
      <c r="R37" s="8"/>
      <c r="S37" s="8"/>
      <c r="T37" s="8"/>
      <c r="U37" s="8"/>
      <c r="V37" s="8"/>
      <c r="W37" s="8"/>
      <c r="X37" s="8"/>
      <c r="Y37" s="49"/>
      <c r="Z37" s="49"/>
      <c r="AA37" s="49"/>
      <c r="AB37" s="49"/>
    </row>
    <row r="38" spans="1:28" ht="57" x14ac:dyDescent="0.2">
      <c r="A38" s="92" t="s">
        <v>710</v>
      </c>
      <c r="B38" s="92" t="s">
        <v>870</v>
      </c>
      <c r="C38" s="92" t="s">
        <v>801</v>
      </c>
      <c r="D38" s="92" t="s">
        <v>802</v>
      </c>
      <c r="E38" s="92"/>
      <c r="F38" s="92" t="s">
        <v>804</v>
      </c>
      <c r="G38" s="92"/>
      <c r="H38" s="92" t="s">
        <v>25</v>
      </c>
      <c r="I38" s="92"/>
      <c r="J38" s="8"/>
      <c r="K38" s="8"/>
      <c r="L38" s="8"/>
      <c r="M38" s="8"/>
      <c r="N38" s="8"/>
      <c r="O38" s="8"/>
      <c r="P38" s="8"/>
      <c r="Q38" s="8"/>
      <c r="R38" s="8"/>
      <c r="S38" s="8"/>
      <c r="T38" s="8"/>
      <c r="U38" s="8"/>
      <c r="V38" s="8"/>
      <c r="W38" s="8"/>
      <c r="X38" s="8"/>
      <c r="Y38" s="49"/>
      <c r="Z38" s="49"/>
      <c r="AA38" s="49"/>
      <c r="AB38" s="49"/>
    </row>
    <row r="39" spans="1:28" ht="71.25" x14ac:dyDescent="0.2">
      <c r="A39" s="92" t="s">
        <v>711</v>
      </c>
      <c r="B39" s="92" t="s">
        <v>790</v>
      </c>
      <c r="C39" s="92" t="s">
        <v>807</v>
      </c>
      <c r="D39" s="92" t="s">
        <v>791</v>
      </c>
      <c r="E39" s="92"/>
      <c r="F39" s="92" t="s">
        <v>818</v>
      </c>
      <c r="G39" s="92"/>
      <c r="H39" s="92" t="s">
        <v>25</v>
      </c>
      <c r="I39" s="92"/>
      <c r="J39" s="8"/>
      <c r="K39" s="8"/>
      <c r="L39" s="8"/>
      <c r="M39" s="8"/>
      <c r="N39" s="8"/>
      <c r="O39" s="8"/>
      <c r="P39" s="8"/>
      <c r="Q39" s="8"/>
      <c r="R39" s="8"/>
      <c r="S39" s="8"/>
      <c r="T39" s="8"/>
      <c r="U39" s="8"/>
      <c r="V39" s="8"/>
      <c r="W39" s="8"/>
      <c r="X39" s="8"/>
      <c r="Y39" s="49"/>
      <c r="Z39" s="49"/>
      <c r="AA39" s="49"/>
      <c r="AB39" s="49"/>
    </row>
    <row r="40" spans="1:28" ht="57" x14ac:dyDescent="0.2">
      <c r="A40" s="92" t="s">
        <v>712</v>
      </c>
      <c r="B40" s="92" t="s">
        <v>869</v>
      </c>
      <c r="C40" s="92" t="s">
        <v>806</v>
      </c>
      <c r="D40" s="92" t="s">
        <v>792</v>
      </c>
      <c r="E40" s="92"/>
      <c r="F40" s="92" t="s">
        <v>821</v>
      </c>
      <c r="G40" s="92"/>
      <c r="H40" s="92" t="s">
        <v>25</v>
      </c>
      <c r="I40" s="92"/>
      <c r="J40" s="8"/>
      <c r="K40" s="8"/>
      <c r="L40" s="8"/>
      <c r="M40" s="8"/>
      <c r="N40" s="8"/>
      <c r="O40" s="8"/>
      <c r="P40" s="8"/>
      <c r="Q40" s="8"/>
      <c r="R40" s="8"/>
      <c r="S40" s="8"/>
      <c r="T40" s="8"/>
      <c r="U40" s="8"/>
      <c r="V40" s="8"/>
      <c r="W40" s="8"/>
      <c r="X40" s="8"/>
      <c r="Y40" s="49"/>
      <c r="Z40" s="49"/>
      <c r="AA40" s="49"/>
      <c r="AB40" s="49"/>
    </row>
    <row r="41" spans="1:28" ht="71.25" x14ac:dyDescent="0.2">
      <c r="A41" s="92" t="s">
        <v>713</v>
      </c>
      <c r="B41" s="92" t="s">
        <v>691</v>
      </c>
      <c r="C41" s="92" t="s">
        <v>745</v>
      </c>
      <c r="D41" s="92" t="s">
        <v>699</v>
      </c>
      <c r="E41" s="92"/>
      <c r="F41" s="92" t="s">
        <v>805</v>
      </c>
      <c r="G41" s="92"/>
      <c r="H41" s="92" t="s">
        <v>25</v>
      </c>
      <c r="I41" s="92"/>
      <c r="J41" s="8"/>
      <c r="K41" s="8"/>
      <c r="L41" s="8"/>
      <c r="M41" s="8"/>
      <c r="N41" s="8"/>
      <c r="O41" s="8"/>
      <c r="P41" s="8"/>
      <c r="Q41" s="8"/>
      <c r="R41" s="8"/>
      <c r="S41" s="8"/>
      <c r="T41" s="8"/>
      <c r="U41" s="8"/>
      <c r="V41" s="8"/>
      <c r="W41" s="8"/>
      <c r="X41" s="8"/>
      <c r="Y41" s="49"/>
      <c r="Z41" s="49"/>
      <c r="AA41" s="49"/>
      <c r="AB41" s="49"/>
    </row>
    <row r="42" spans="1:28" ht="85.5" x14ac:dyDescent="0.2">
      <c r="A42" s="92" t="s">
        <v>714</v>
      </c>
      <c r="B42" s="92" t="s">
        <v>692</v>
      </c>
      <c r="C42" s="92" t="s">
        <v>745</v>
      </c>
      <c r="D42" s="92" t="s">
        <v>700</v>
      </c>
      <c r="E42" s="92"/>
      <c r="F42" s="92" t="s">
        <v>820</v>
      </c>
      <c r="G42" s="92"/>
      <c r="H42" s="92" t="s">
        <v>25</v>
      </c>
      <c r="I42" s="92"/>
      <c r="J42" s="8"/>
      <c r="K42" s="8"/>
      <c r="L42" s="8"/>
      <c r="M42" s="8"/>
      <c r="N42" s="8"/>
      <c r="O42" s="8"/>
      <c r="P42" s="8"/>
      <c r="Q42" s="8"/>
      <c r="R42" s="8"/>
      <c r="S42" s="8"/>
      <c r="T42" s="8"/>
      <c r="U42" s="8"/>
      <c r="V42" s="8"/>
      <c r="W42" s="8"/>
      <c r="X42" s="8"/>
      <c r="Y42" s="49"/>
      <c r="Z42" s="49"/>
      <c r="AA42" s="49"/>
      <c r="AB42" s="49"/>
    </row>
    <row r="43" spans="1:28" ht="15" x14ac:dyDescent="0.2">
      <c r="A43" s="172" t="s">
        <v>160</v>
      </c>
      <c r="B43" s="173"/>
      <c r="C43" s="173"/>
      <c r="D43" s="173"/>
      <c r="E43" s="173"/>
      <c r="F43" s="173"/>
      <c r="G43" s="173"/>
      <c r="H43" s="173"/>
      <c r="I43" s="113"/>
      <c r="J43" s="86"/>
      <c r="K43" s="86"/>
      <c r="L43" s="86"/>
      <c r="M43" s="86"/>
      <c r="N43" s="86"/>
      <c r="O43" s="86"/>
      <c r="P43" s="86"/>
      <c r="Q43" s="86"/>
      <c r="R43" s="86"/>
      <c r="S43" s="86"/>
      <c r="T43" s="86"/>
      <c r="U43" s="86"/>
      <c r="V43" s="86"/>
      <c r="W43" s="86"/>
      <c r="X43" s="86"/>
      <c r="Y43" s="86"/>
      <c r="Z43" s="86"/>
      <c r="AA43" s="49"/>
      <c r="AB43" s="49"/>
    </row>
    <row r="44" spans="1:28" ht="71.25" x14ac:dyDescent="0.2">
      <c r="A44" s="92" t="s">
        <v>715</v>
      </c>
      <c r="B44" s="92" t="s">
        <v>693</v>
      </c>
      <c r="C44" s="92" t="s">
        <v>745</v>
      </c>
      <c r="D44" s="92" t="s">
        <v>793</v>
      </c>
      <c r="E44" s="92"/>
      <c r="F44" s="92" t="s">
        <v>812</v>
      </c>
      <c r="G44" s="92"/>
      <c r="H44" s="92" t="s">
        <v>28</v>
      </c>
      <c r="I44" s="92"/>
      <c r="J44" s="8"/>
      <c r="K44" s="8"/>
      <c r="L44" s="8"/>
      <c r="M44" s="8"/>
      <c r="N44" s="8"/>
      <c r="O44" s="8"/>
      <c r="P44" s="8"/>
      <c r="Q44" s="8"/>
      <c r="R44" s="8"/>
      <c r="S44" s="8"/>
      <c r="T44" s="8"/>
      <c r="U44" s="8"/>
      <c r="V44" s="8"/>
      <c r="W44" s="8"/>
      <c r="X44" s="8"/>
      <c r="Y44" s="49"/>
      <c r="Z44" s="49"/>
      <c r="AA44" s="49"/>
      <c r="AB44" s="49"/>
    </row>
    <row r="45" spans="1:28" ht="71.25" x14ac:dyDescent="0.2">
      <c r="A45" s="92" t="s">
        <v>716</v>
      </c>
      <c r="B45" s="92" t="s">
        <v>868</v>
      </c>
      <c r="C45" s="92" t="s">
        <v>745</v>
      </c>
      <c r="D45" s="92" t="s">
        <v>794</v>
      </c>
      <c r="E45" s="92"/>
      <c r="F45" s="92" t="s">
        <v>819</v>
      </c>
      <c r="G45" s="92"/>
      <c r="H45" s="92" t="s">
        <v>28</v>
      </c>
      <c r="I45" s="92"/>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4.25" x14ac:dyDescent="0.2">
      <c r="A188" s="8"/>
      <c r="B188" s="8"/>
      <c r="C188" s="8"/>
      <c r="D188" s="8"/>
      <c r="E188" s="8"/>
      <c r="F188" s="8"/>
      <c r="G188" s="8"/>
      <c r="H188" s="8"/>
      <c r="I188" s="8"/>
      <c r="J188" s="49"/>
      <c r="K188" s="49"/>
      <c r="L188" s="49"/>
      <c r="M188" s="49"/>
      <c r="N188" s="49"/>
      <c r="O188" s="49"/>
      <c r="P188" s="49"/>
      <c r="Q188" s="49"/>
      <c r="R188" s="49"/>
      <c r="S188" s="49"/>
      <c r="T188" s="49"/>
      <c r="U188" s="49"/>
      <c r="V188" s="49"/>
      <c r="W188" s="49"/>
      <c r="X188" s="49"/>
      <c r="Y188" s="49"/>
      <c r="Z188" s="49"/>
      <c r="AA188" s="49"/>
      <c r="AB188" s="49"/>
    </row>
    <row r="189" spans="1:28" ht="14.25" x14ac:dyDescent="0.2">
      <c r="A189" s="8"/>
      <c r="B189" s="8"/>
      <c r="C189" s="8"/>
      <c r="D189" s="8"/>
      <c r="E189" s="8"/>
      <c r="F189" s="8"/>
      <c r="G189" s="8"/>
      <c r="H189" s="8"/>
      <c r="I189" s="8"/>
      <c r="J189" s="49"/>
      <c r="K189" s="49"/>
      <c r="L189" s="49"/>
      <c r="M189" s="49"/>
      <c r="N189" s="49"/>
      <c r="O189" s="49"/>
      <c r="P189" s="49"/>
      <c r="Q189" s="49"/>
      <c r="R189" s="49"/>
      <c r="S189" s="49"/>
      <c r="T189" s="49"/>
      <c r="U189" s="49"/>
      <c r="V189" s="49"/>
      <c r="W189" s="49"/>
      <c r="X189" s="49"/>
      <c r="Y189" s="49"/>
      <c r="Z189" s="49"/>
      <c r="AA189" s="49"/>
      <c r="AB189" s="49"/>
    </row>
    <row r="190" spans="1:28" ht="14.25" x14ac:dyDescent="0.2">
      <c r="A190" s="8"/>
      <c r="B190" s="8"/>
      <c r="C190" s="8"/>
      <c r="D190" s="8"/>
      <c r="E190" s="8"/>
      <c r="F190" s="8"/>
      <c r="G190" s="8"/>
      <c r="H190" s="8"/>
      <c r="I190" s="8"/>
      <c r="J190" s="49"/>
      <c r="K190" s="49"/>
      <c r="L190" s="49"/>
      <c r="M190" s="49"/>
      <c r="N190" s="49"/>
      <c r="O190" s="49"/>
      <c r="P190" s="49"/>
      <c r="Q190" s="49"/>
      <c r="R190" s="49"/>
      <c r="S190" s="49"/>
      <c r="T190" s="49"/>
      <c r="U190" s="49"/>
      <c r="V190" s="49"/>
      <c r="W190" s="49"/>
      <c r="X190" s="49"/>
      <c r="Y190" s="49"/>
      <c r="Z190" s="49"/>
      <c r="AA190" s="49"/>
      <c r="AB190" s="49"/>
    </row>
    <row r="191" spans="1:28" ht="14.25" x14ac:dyDescent="0.2">
      <c r="A191" s="8"/>
      <c r="B191" s="8"/>
      <c r="C191" s="8"/>
      <c r="D191" s="8"/>
      <c r="E191" s="8"/>
      <c r="F191" s="8"/>
      <c r="G191" s="8"/>
      <c r="H191" s="8"/>
      <c r="I191" s="8"/>
      <c r="J191" s="49"/>
      <c r="K191" s="49"/>
      <c r="L191" s="49"/>
      <c r="M191" s="49"/>
      <c r="N191" s="49"/>
      <c r="O191" s="49"/>
      <c r="P191" s="49"/>
      <c r="Q191" s="49"/>
      <c r="R191" s="49"/>
      <c r="S191" s="49"/>
      <c r="T191" s="49"/>
      <c r="U191" s="49"/>
      <c r="V191" s="49"/>
      <c r="W191" s="49"/>
      <c r="X191" s="49"/>
      <c r="Y191" s="49"/>
      <c r="Z191" s="49"/>
      <c r="AA191" s="49"/>
      <c r="AB191" s="49"/>
    </row>
    <row r="192" spans="1:28" ht="14.25" x14ac:dyDescent="0.2">
      <c r="A192" s="8"/>
      <c r="B192" s="8"/>
      <c r="C192" s="8"/>
      <c r="D192" s="8"/>
      <c r="E192" s="8"/>
      <c r="F192" s="8"/>
      <c r="G192" s="8"/>
      <c r="H192" s="8"/>
      <c r="I192" s="8"/>
      <c r="J192" s="49"/>
      <c r="K192" s="49"/>
      <c r="L192" s="49"/>
      <c r="M192" s="49"/>
      <c r="N192" s="49"/>
      <c r="O192" s="49"/>
      <c r="P192" s="49"/>
      <c r="Q192" s="49"/>
      <c r="R192" s="49"/>
      <c r="S192" s="49"/>
      <c r="T192" s="49"/>
      <c r="U192" s="49"/>
      <c r="V192" s="49"/>
      <c r="W192" s="49"/>
      <c r="X192" s="49"/>
      <c r="Y192" s="49"/>
      <c r="Z192" s="49"/>
      <c r="AA192" s="49"/>
      <c r="AB192" s="49"/>
    </row>
    <row r="193" spans="1:28" ht="14.25" x14ac:dyDescent="0.2">
      <c r="A193" s="8"/>
      <c r="B193" s="8"/>
      <c r="C193" s="8"/>
      <c r="D193" s="8"/>
      <c r="E193" s="8"/>
      <c r="F193" s="8"/>
      <c r="G193" s="8"/>
      <c r="H193" s="8"/>
      <c r="I193" s="8"/>
      <c r="J193" s="49"/>
      <c r="K193" s="49"/>
      <c r="L193" s="49"/>
      <c r="M193" s="49"/>
      <c r="N193" s="49"/>
      <c r="O193" s="49"/>
      <c r="P193" s="49"/>
      <c r="Q193" s="49"/>
      <c r="R193" s="49"/>
      <c r="S193" s="49"/>
      <c r="T193" s="49"/>
      <c r="U193" s="49"/>
      <c r="V193" s="49"/>
      <c r="W193" s="49"/>
      <c r="X193" s="49"/>
      <c r="Y193" s="49"/>
      <c r="Z193" s="49"/>
      <c r="AA193" s="49"/>
      <c r="AB193" s="49"/>
    </row>
    <row r="194" spans="1:28" ht="14.25" x14ac:dyDescent="0.2">
      <c r="A194" s="8"/>
      <c r="B194" s="8"/>
      <c r="C194" s="8"/>
      <c r="D194" s="8"/>
      <c r="E194" s="8"/>
      <c r="F194" s="8"/>
      <c r="G194" s="8"/>
      <c r="H194" s="8"/>
      <c r="I194" s="8"/>
      <c r="J194" s="49"/>
      <c r="K194" s="49"/>
      <c r="L194" s="49"/>
      <c r="M194" s="49"/>
      <c r="N194" s="49"/>
      <c r="O194" s="49"/>
      <c r="P194" s="49"/>
      <c r="Q194" s="49"/>
      <c r="R194" s="49"/>
      <c r="S194" s="49"/>
      <c r="T194" s="49"/>
      <c r="U194" s="49"/>
      <c r="V194" s="49"/>
      <c r="W194" s="49"/>
      <c r="X194" s="49"/>
      <c r="Y194" s="49"/>
      <c r="Z194" s="49"/>
      <c r="AA194" s="49"/>
      <c r="AB194" s="49"/>
    </row>
    <row r="195" spans="1:28" ht="14.25" x14ac:dyDescent="0.2">
      <c r="A195" s="8"/>
      <c r="B195" s="8"/>
      <c r="C195" s="8"/>
      <c r="D195" s="8"/>
      <c r="E195" s="8"/>
      <c r="F195" s="8"/>
      <c r="G195" s="8"/>
      <c r="H195" s="8"/>
      <c r="I195" s="8"/>
      <c r="J195" s="49"/>
      <c r="K195" s="49"/>
      <c r="L195" s="49"/>
      <c r="M195" s="49"/>
      <c r="N195" s="49"/>
      <c r="O195" s="49"/>
      <c r="P195" s="49"/>
      <c r="Q195" s="49"/>
      <c r="R195" s="49"/>
      <c r="S195" s="49"/>
      <c r="T195" s="49"/>
      <c r="U195" s="49"/>
      <c r="V195" s="49"/>
      <c r="W195" s="49"/>
      <c r="X195" s="49"/>
      <c r="Y195" s="49"/>
      <c r="Z195" s="49"/>
      <c r="AA195" s="49"/>
      <c r="AB195" s="49"/>
    </row>
    <row r="196" spans="1:28" ht="14.25" x14ac:dyDescent="0.2">
      <c r="A196" s="8"/>
      <c r="B196" s="8"/>
      <c r="C196" s="8"/>
      <c r="D196" s="8"/>
      <c r="E196" s="8"/>
      <c r="F196" s="8"/>
      <c r="G196" s="8"/>
      <c r="H196" s="8"/>
      <c r="I196" s="8"/>
      <c r="J196" s="49"/>
      <c r="K196" s="49"/>
      <c r="L196" s="49"/>
      <c r="M196" s="49"/>
      <c r="N196" s="49"/>
      <c r="O196" s="49"/>
      <c r="P196" s="49"/>
      <c r="Q196" s="49"/>
      <c r="R196" s="49"/>
      <c r="S196" s="49"/>
      <c r="T196" s="49"/>
      <c r="U196" s="49"/>
      <c r="V196" s="49"/>
      <c r="W196" s="49"/>
      <c r="X196" s="49"/>
      <c r="Y196" s="49"/>
      <c r="Z196" s="49"/>
      <c r="AA196" s="49"/>
      <c r="AB196" s="49"/>
    </row>
    <row r="197" spans="1:28" ht="14.25" x14ac:dyDescent="0.2">
      <c r="A197" s="8"/>
      <c r="B197" s="8"/>
      <c r="C197" s="8"/>
      <c r="D197" s="8"/>
      <c r="E197" s="8"/>
      <c r="F197" s="8"/>
      <c r="G197" s="8"/>
      <c r="H197" s="8"/>
      <c r="I197" s="8"/>
      <c r="J197" s="49"/>
      <c r="K197" s="49"/>
      <c r="L197" s="49"/>
      <c r="M197" s="49"/>
      <c r="N197" s="49"/>
      <c r="O197" s="49"/>
      <c r="P197" s="49"/>
      <c r="Q197" s="49"/>
      <c r="R197" s="49"/>
      <c r="S197" s="49"/>
      <c r="T197" s="49"/>
      <c r="U197" s="49"/>
      <c r="V197" s="49"/>
      <c r="W197" s="49"/>
      <c r="X197" s="49"/>
      <c r="Y197" s="49"/>
      <c r="Z197" s="49"/>
      <c r="AA197" s="49"/>
      <c r="AB197" s="49"/>
    </row>
    <row r="198" spans="1:28" ht="14.25" x14ac:dyDescent="0.2">
      <c r="A198" s="8"/>
      <c r="B198" s="8"/>
      <c r="C198" s="8"/>
      <c r="D198" s="8"/>
      <c r="E198" s="8"/>
      <c r="F198" s="8"/>
      <c r="G198" s="8"/>
      <c r="H198" s="8"/>
      <c r="I198" s="8"/>
      <c r="J198" s="49"/>
      <c r="K198" s="49"/>
      <c r="L198" s="49"/>
      <c r="M198" s="49"/>
      <c r="N198" s="49"/>
      <c r="O198" s="49"/>
      <c r="P198" s="49"/>
      <c r="Q198" s="49"/>
      <c r="R198" s="49"/>
      <c r="S198" s="49"/>
      <c r="T198" s="49"/>
      <c r="U198" s="49"/>
      <c r="V198" s="49"/>
      <c r="W198" s="49"/>
      <c r="X198" s="49"/>
      <c r="Y198" s="49"/>
      <c r="Z198" s="49"/>
      <c r="AA198" s="49"/>
      <c r="AB198" s="49"/>
    </row>
    <row r="199" spans="1:28" ht="14.25" x14ac:dyDescent="0.2">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4.25" x14ac:dyDescent="0.2">
      <c r="A965" s="49"/>
      <c r="B965" s="49"/>
      <c r="C965" s="49"/>
      <c r="D965" s="49"/>
      <c r="E965" s="49"/>
      <c r="F965" s="49"/>
      <c r="G965" s="49"/>
      <c r="H965" s="49"/>
      <c r="I965" s="49"/>
    </row>
    <row r="966" spans="1:28" ht="14.25" x14ac:dyDescent="0.2">
      <c r="A966" s="49"/>
      <c r="B966" s="49"/>
      <c r="C966" s="49"/>
      <c r="D966" s="49"/>
      <c r="E966" s="49"/>
      <c r="F966" s="49"/>
      <c r="G966" s="49"/>
      <c r="H966" s="49"/>
      <c r="I966" s="49"/>
    </row>
    <row r="967" spans="1:28" ht="14.25" x14ac:dyDescent="0.2">
      <c r="A967" s="49"/>
      <c r="B967" s="49"/>
      <c r="C967" s="49"/>
      <c r="D967" s="49"/>
      <c r="E967" s="49"/>
      <c r="F967" s="49"/>
      <c r="G967" s="49"/>
      <c r="H967" s="49"/>
      <c r="I967" s="49"/>
    </row>
    <row r="968" spans="1:28" ht="14.25" x14ac:dyDescent="0.2">
      <c r="A968" s="49"/>
      <c r="B968" s="49"/>
      <c r="C968" s="49"/>
      <c r="D968" s="49"/>
      <c r="E968" s="49"/>
      <c r="F968" s="49"/>
      <c r="G968" s="49"/>
      <c r="H968" s="49"/>
      <c r="I968" s="49"/>
    </row>
    <row r="969" spans="1:28" ht="14.25" x14ac:dyDescent="0.2">
      <c r="A969" s="49"/>
      <c r="B969" s="49"/>
      <c r="C969" s="49"/>
      <c r="D969" s="49"/>
      <c r="E969" s="49"/>
      <c r="F969" s="49"/>
      <c r="G969" s="49"/>
      <c r="H969" s="49"/>
      <c r="I969" s="49"/>
    </row>
    <row r="970" spans="1:28" ht="14.25" x14ac:dyDescent="0.2">
      <c r="A970" s="49"/>
      <c r="B970" s="49"/>
      <c r="C970" s="49"/>
      <c r="D970" s="49"/>
      <c r="E970" s="49"/>
      <c r="F970" s="49"/>
      <c r="G970" s="49"/>
      <c r="H970" s="49"/>
      <c r="I970" s="49"/>
    </row>
    <row r="971" spans="1:28" ht="14.25" x14ac:dyDescent="0.2">
      <c r="A971" s="49"/>
      <c r="B971" s="49"/>
      <c r="C971" s="49"/>
      <c r="D971" s="49"/>
      <c r="E971" s="49"/>
      <c r="F971" s="49"/>
      <c r="G971" s="49"/>
      <c r="H971" s="49"/>
      <c r="I971" s="49"/>
    </row>
    <row r="972" spans="1:28" ht="14.25" x14ac:dyDescent="0.2">
      <c r="A972" s="49"/>
      <c r="B972" s="49"/>
      <c r="C972" s="49"/>
      <c r="D972" s="49"/>
      <c r="E972" s="49"/>
      <c r="F972" s="49"/>
      <c r="G972" s="49"/>
      <c r="H972" s="49"/>
      <c r="I972" s="49"/>
    </row>
    <row r="973" spans="1:28" ht="14.25" x14ac:dyDescent="0.2">
      <c r="A973" s="49"/>
      <c r="B973" s="49"/>
      <c r="C973" s="49"/>
      <c r="D973" s="49"/>
      <c r="E973" s="49"/>
      <c r="F973" s="49"/>
      <c r="G973" s="49"/>
      <c r="H973" s="49"/>
      <c r="I973" s="49"/>
    </row>
    <row r="974" spans="1:28" ht="14.25" x14ac:dyDescent="0.2">
      <c r="A974" s="49"/>
      <c r="B974" s="49"/>
      <c r="C974" s="49"/>
      <c r="D974" s="49"/>
      <c r="E974" s="49"/>
      <c r="F974" s="49"/>
      <c r="G974" s="49"/>
      <c r="H974" s="49"/>
      <c r="I974" s="49"/>
    </row>
    <row r="975" spans="1:28" ht="14.25" x14ac:dyDescent="0.2">
      <c r="A975" s="49"/>
      <c r="B975" s="49"/>
      <c r="C975" s="49"/>
      <c r="D975" s="49"/>
      <c r="E975" s="49"/>
      <c r="F975" s="49"/>
      <c r="G975" s="49"/>
      <c r="H975" s="49"/>
      <c r="I975" s="49"/>
    </row>
  </sheetData>
  <mergeCells count="3">
    <mergeCell ref="A9:H9"/>
    <mergeCell ref="A33:H33"/>
    <mergeCell ref="A43:H43"/>
  </mergeCells>
  <phoneticPr fontId="28" type="noConversion"/>
  <dataValidations count="1">
    <dataValidation type="list" allowBlank="1" showInputMessage="1" showErrorMessage="1" sqref="H10:H32 H44:H45 H34:H42" xr:uid="{842378DD-95C6-43E9-9C0E-47BA7D750C50}">
      <formula1>"'Pass,'Fail,'Untest,'N/A"</formula1>
    </dataValidation>
  </dataValidations>
  <hyperlinks>
    <hyperlink ref="B2" location="null!A1" display="Back to TestReport" xr:uid="{D621305E-5283-404A-B8E2-C5D472BF1313}"/>
  </hyperlink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ABF0-8747-4C6F-BB0F-2CC995ED98F9}">
  <sheetPr>
    <outlinePr summaryBelow="0" summaryRight="0"/>
  </sheetPr>
  <dimension ref="A1:AB977"/>
  <sheetViews>
    <sheetView zoomScale="85" zoomScaleNormal="85" workbookViewId="0">
      <pane xSplit="1" ySplit="8" topLeftCell="B36" activePane="bottomRight" state="frozen"/>
      <selection pane="topRight" activeCell="B1" sqref="B1"/>
      <selection pane="bottomLeft" activeCell="A9" sqref="A9"/>
      <selection pane="bottomRight" activeCell="H37" sqref="H37:H42"/>
    </sheetView>
  </sheetViews>
  <sheetFormatPr defaultColWidth="12.625" defaultRowHeight="13.5" x14ac:dyDescent="0.15"/>
  <cols>
    <col min="1" max="1" width="12.75" customWidth="1"/>
    <col min="2" max="2" width="23.875" bestFit="1" customWidth="1"/>
    <col min="3" max="3" width="22.75" customWidth="1"/>
    <col min="4" max="4" width="20.25" customWidth="1"/>
    <col min="5" max="5" width="18.1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COUNTIF($A$10:$A$843, "TC*")</f>
        <v>33</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66</v>
      </c>
      <c r="D3" s="50"/>
      <c r="E3" s="50"/>
      <c r="F3" s="50"/>
      <c r="G3" s="134" t="s">
        <v>25</v>
      </c>
      <c r="H3" s="64">
        <f>(COUNTIF(H10:H32,"Pass"))</f>
        <v>0</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(COUNTIF(H10:H32,"Fail"))</f>
        <v>0</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(COUNTIF(H10:H45,"Untest"))</f>
        <v>26</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0%</v>
      </c>
      <c r="D6" s="50"/>
      <c r="E6" s="50"/>
      <c r="F6" s="50"/>
      <c r="G6" s="84" t="s">
        <v>30</v>
      </c>
      <c r="H6" s="85">
        <f>(COUNTIF(H10:H32,"N/A"))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20" t="s">
        <v>31</v>
      </c>
      <c r="B8" s="120" t="s">
        <v>32</v>
      </c>
      <c r="C8" s="121" t="s">
        <v>21</v>
      </c>
      <c r="D8" s="120" t="s">
        <v>14</v>
      </c>
      <c r="E8" s="121" t="s">
        <v>33</v>
      </c>
      <c r="F8" s="120" t="s">
        <v>34</v>
      </c>
      <c r="G8" s="122" t="s">
        <v>35</v>
      </c>
      <c r="H8" s="123" t="s">
        <v>64</v>
      </c>
      <c r="I8" s="121" t="s">
        <v>36</v>
      </c>
      <c r="J8" s="58"/>
      <c r="K8" s="58"/>
      <c r="L8" s="58"/>
      <c r="M8" s="58"/>
      <c r="N8" s="58"/>
      <c r="O8" s="58"/>
      <c r="P8" s="58"/>
      <c r="Q8" s="58"/>
      <c r="R8" s="58"/>
      <c r="S8" s="58"/>
      <c r="T8" s="58"/>
      <c r="U8" s="58"/>
      <c r="V8" s="58"/>
      <c r="W8" s="58"/>
      <c r="X8" s="58"/>
      <c r="Y8" s="58"/>
      <c r="Z8" s="58"/>
      <c r="AA8" s="49"/>
      <c r="AB8" s="49"/>
    </row>
    <row r="9" spans="1:28" ht="15" customHeight="1" x14ac:dyDescent="0.2">
      <c r="A9" s="174" t="s">
        <v>85</v>
      </c>
      <c r="B9" s="175"/>
      <c r="C9" s="175"/>
      <c r="D9" s="175"/>
      <c r="E9" s="175"/>
      <c r="F9" s="175"/>
      <c r="G9" s="175"/>
      <c r="H9" s="175"/>
      <c r="I9" s="116"/>
      <c r="J9" s="86"/>
      <c r="K9" s="86"/>
      <c r="L9" s="86"/>
      <c r="M9" s="86"/>
      <c r="N9" s="86"/>
      <c r="O9" s="86"/>
      <c r="P9" s="86"/>
      <c r="Q9" s="86"/>
      <c r="R9" s="86"/>
      <c r="S9" s="86"/>
      <c r="T9" s="86"/>
      <c r="U9" s="86"/>
      <c r="V9" s="86"/>
      <c r="W9" s="86"/>
      <c r="X9" s="86"/>
      <c r="Y9" s="86"/>
      <c r="Z9" s="86"/>
      <c r="AA9" s="49"/>
      <c r="AB9" s="49"/>
    </row>
    <row r="10" spans="1:28" ht="156.75" x14ac:dyDescent="0.2">
      <c r="A10" s="92" t="s">
        <v>107</v>
      </c>
      <c r="B10" s="92" t="s">
        <v>621</v>
      </c>
      <c r="C10" s="92" t="s">
        <v>860</v>
      </c>
      <c r="D10" s="92" t="s">
        <v>645</v>
      </c>
      <c r="E10" s="92" t="s">
        <v>646</v>
      </c>
      <c r="F10" s="92" t="s">
        <v>647</v>
      </c>
      <c r="G10" s="92"/>
      <c r="H10" s="92" t="s">
        <v>28</v>
      </c>
      <c r="I10" s="92"/>
      <c r="J10" s="8"/>
      <c r="K10" s="8"/>
      <c r="L10" s="8"/>
      <c r="M10" s="8"/>
      <c r="N10" s="8"/>
      <c r="O10" s="8"/>
      <c r="P10" s="8"/>
      <c r="Q10" s="8"/>
      <c r="R10" s="8"/>
      <c r="S10" s="8"/>
      <c r="T10" s="8"/>
      <c r="U10" s="8"/>
      <c r="V10" s="8"/>
      <c r="W10" s="8"/>
      <c r="X10" s="8"/>
      <c r="Y10" s="8"/>
      <c r="Z10" s="8"/>
      <c r="AA10" s="49"/>
      <c r="AB10" s="49"/>
    </row>
    <row r="11" spans="1:28" ht="85.5" x14ac:dyDescent="0.2">
      <c r="A11" s="92" t="s">
        <v>97</v>
      </c>
      <c r="B11" s="92" t="s">
        <v>622</v>
      </c>
      <c r="C11" s="92" t="s">
        <v>860</v>
      </c>
      <c r="D11" s="92" t="s">
        <v>648</v>
      </c>
      <c r="E11" s="92" t="s">
        <v>649</v>
      </c>
      <c r="F11" s="92" t="s">
        <v>650</v>
      </c>
      <c r="G11" s="92"/>
      <c r="H11" s="92" t="s">
        <v>28</v>
      </c>
      <c r="I11" s="92"/>
      <c r="J11" s="8"/>
      <c r="K11" s="8"/>
      <c r="L11" s="8"/>
      <c r="M11" s="8"/>
      <c r="N11" s="8"/>
      <c r="O11" s="8"/>
      <c r="P11" s="8"/>
      <c r="Q11" s="8"/>
      <c r="R11" s="8"/>
      <c r="S11" s="8"/>
      <c r="T11" s="8"/>
      <c r="U11" s="8"/>
      <c r="V11" s="8"/>
      <c r="W11" s="8"/>
      <c r="X11" s="8"/>
      <c r="Y11" s="8"/>
      <c r="Z11" s="8"/>
      <c r="AA11" s="49"/>
      <c r="AB11" s="49"/>
    </row>
    <row r="12" spans="1:28" ht="85.5" x14ac:dyDescent="0.2">
      <c r="A12" s="92" t="s">
        <v>98</v>
      </c>
      <c r="B12" s="92" t="s">
        <v>623</v>
      </c>
      <c r="C12" s="92" t="s">
        <v>860</v>
      </c>
      <c r="D12" s="92" t="s">
        <v>651</v>
      </c>
      <c r="E12" s="92" t="s">
        <v>652</v>
      </c>
      <c r="F12" s="92" t="s">
        <v>653</v>
      </c>
      <c r="G12" s="92"/>
      <c r="H12" s="92" t="s">
        <v>28</v>
      </c>
      <c r="I12" s="92"/>
      <c r="J12" s="8"/>
      <c r="K12" s="8"/>
      <c r="L12" s="8"/>
      <c r="M12" s="8"/>
      <c r="N12" s="8"/>
      <c r="O12" s="8"/>
      <c r="P12" s="8"/>
      <c r="Q12" s="8"/>
      <c r="R12" s="8"/>
      <c r="S12" s="8"/>
      <c r="T12" s="8"/>
      <c r="U12" s="8"/>
      <c r="V12" s="8"/>
      <c r="W12" s="8"/>
      <c r="X12" s="8"/>
      <c r="Y12" s="49"/>
      <c r="Z12" s="49"/>
      <c r="AA12" s="49"/>
      <c r="AB12" s="49"/>
    </row>
    <row r="13" spans="1:28" ht="71.25" x14ac:dyDescent="0.2">
      <c r="A13" s="92" t="s">
        <v>99</v>
      </c>
      <c r="B13" s="92" t="s">
        <v>741</v>
      </c>
      <c r="C13" s="92" t="s">
        <v>860</v>
      </c>
      <c r="D13" s="92" t="s">
        <v>654</v>
      </c>
      <c r="E13" s="92" t="s">
        <v>726</v>
      </c>
      <c r="F13" s="92" t="s">
        <v>655</v>
      </c>
      <c r="G13" s="92"/>
      <c r="H13" s="92" t="s">
        <v>28</v>
      </c>
      <c r="I13" s="92"/>
      <c r="J13" s="8"/>
      <c r="K13" s="8"/>
      <c r="L13" s="8"/>
      <c r="M13" s="8"/>
      <c r="N13" s="8"/>
      <c r="O13" s="8"/>
      <c r="P13" s="8"/>
      <c r="Q13" s="8"/>
      <c r="R13" s="8"/>
      <c r="S13" s="8"/>
      <c r="T13" s="8"/>
      <c r="U13" s="8"/>
      <c r="V13" s="8"/>
      <c r="W13" s="8"/>
      <c r="X13" s="8"/>
      <c r="Y13" s="49"/>
      <c r="Z13" s="49"/>
      <c r="AA13" s="49"/>
      <c r="AB13" s="49"/>
    </row>
    <row r="14" spans="1:28" ht="71.25" x14ac:dyDescent="0.2">
      <c r="A14" s="92" t="s">
        <v>100</v>
      </c>
      <c r="B14" s="92" t="s">
        <v>734</v>
      </c>
      <c r="C14" s="92" t="s">
        <v>860</v>
      </c>
      <c r="D14" s="92" t="s">
        <v>656</v>
      </c>
      <c r="E14" s="92" t="s">
        <v>609</v>
      </c>
      <c r="F14" s="92" t="s">
        <v>657</v>
      </c>
      <c r="G14" s="92"/>
      <c r="H14" s="92" t="s">
        <v>28</v>
      </c>
      <c r="I14" s="92"/>
      <c r="J14" s="8"/>
      <c r="K14" s="8"/>
      <c r="L14" s="8"/>
      <c r="M14" s="8"/>
      <c r="N14" s="8"/>
      <c r="O14" s="8"/>
      <c r="P14" s="8"/>
      <c r="Q14" s="8"/>
      <c r="R14" s="8"/>
      <c r="S14" s="8"/>
      <c r="T14" s="8"/>
      <c r="U14" s="8"/>
      <c r="V14" s="8"/>
      <c r="W14" s="8"/>
      <c r="X14" s="8"/>
      <c r="Y14" s="49"/>
      <c r="Z14" s="49"/>
      <c r="AA14" s="49"/>
      <c r="AB14" s="49"/>
    </row>
    <row r="15" spans="1:28" ht="85.5" x14ac:dyDescent="0.2">
      <c r="A15" s="92" t="s">
        <v>101</v>
      </c>
      <c r="B15" s="92" t="s">
        <v>828</v>
      </c>
      <c r="C15" s="92" t="s">
        <v>860</v>
      </c>
      <c r="D15" s="92" t="s">
        <v>658</v>
      </c>
      <c r="E15" s="92" t="s">
        <v>611</v>
      </c>
      <c r="F15" s="92" t="s">
        <v>659</v>
      </c>
      <c r="G15" s="92"/>
      <c r="H15" s="92" t="s">
        <v>28</v>
      </c>
      <c r="I15" s="92"/>
      <c r="J15" s="8"/>
      <c r="K15" s="8"/>
      <c r="L15" s="8"/>
      <c r="M15" s="8"/>
      <c r="N15" s="8"/>
      <c r="O15" s="8"/>
      <c r="P15" s="8"/>
      <c r="Q15" s="8"/>
      <c r="R15" s="8"/>
      <c r="S15" s="8"/>
      <c r="T15" s="8"/>
      <c r="U15" s="8"/>
      <c r="V15" s="8"/>
      <c r="W15" s="8"/>
      <c r="X15" s="8"/>
      <c r="Y15" s="49"/>
      <c r="Z15" s="49"/>
      <c r="AA15" s="49"/>
      <c r="AB15" s="49"/>
    </row>
    <row r="16" spans="1:28" ht="57" x14ac:dyDescent="0.2">
      <c r="A16" s="92" t="s">
        <v>102</v>
      </c>
      <c r="B16" s="92" t="s">
        <v>829</v>
      </c>
      <c r="C16" s="92" t="s">
        <v>860</v>
      </c>
      <c r="D16" s="92" t="s">
        <v>612</v>
      </c>
      <c r="E16" s="92" t="s">
        <v>613</v>
      </c>
      <c r="F16" s="92" t="s">
        <v>833</v>
      </c>
      <c r="G16" s="92"/>
      <c r="H16" s="92" t="s">
        <v>28</v>
      </c>
      <c r="I16" s="92"/>
      <c r="J16" s="73"/>
      <c r="K16" s="73"/>
      <c r="L16" s="73"/>
      <c r="M16" s="73"/>
      <c r="N16" s="73"/>
      <c r="O16" s="73"/>
      <c r="P16" s="73"/>
      <c r="Q16" s="73"/>
      <c r="R16" s="73"/>
      <c r="S16" s="73"/>
      <c r="T16" s="73"/>
      <c r="U16" s="73"/>
      <c r="V16" s="73"/>
      <c r="W16" s="73"/>
      <c r="X16" s="73"/>
      <c r="Y16" s="49"/>
      <c r="Z16" s="49"/>
      <c r="AA16" s="49"/>
      <c r="AB16" s="49"/>
    </row>
    <row r="17" spans="1:28" ht="71.25" x14ac:dyDescent="0.2">
      <c r="A17" s="92" t="s">
        <v>103</v>
      </c>
      <c r="B17" s="92" t="s">
        <v>830</v>
      </c>
      <c r="C17" s="92" t="s">
        <v>860</v>
      </c>
      <c r="D17" s="92" t="s">
        <v>660</v>
      </c>
      <c r="E17" s="92" t="s">
        <v>730</v>
      </c>
      <c r="F17" s="92" t="s">
        <v>834</v>
      </c>
      <c r="G17" s="92"/>
      <c r="H17" s="92" t="s">
        <v>28</v>
      </c>
      <c r="I17" s="92"/>
      <c r="J17" s="73"/>
      <c r="K17" s="73"/>
      <c r="L17" s="73"/>
      <c r="M17" s="73"/>
      <c r="N17" s="73"/>
      <c r="O17" s="73"/>
      <c r="P17" s="73"/>
      <c r="Q17" s="73"/>
      <c r="R17" s="73"/>
      <c r="S17" s="73"/>
      <c r="T17" s="73"/>
      <c r="U17" s="73"/>
      <c r="V17" s="73"/>
      <c r="W17" s="73"/>
      <c r="X17" s="73"/>
      <c r="Y17" s="49"/>
      <c r="Z17" s="49"/>
      <c r="AA17" s="49"/>
      <c r="AB17" s="49"/>
    </row>
    <row r="18" spans="1:28" ht="57" x14ac:dyDescent="0.2">
      <c r="A18" s="92" t="s">
        <v>104</v>
      </c>
      <c r="B18" s="92" t="s">
        <v>831</v>
      </c>
      <c r="C18" s="92" t="s">
        <v>860</v>
      </c>
      <c r="D18" s="92" t="s">
        <v>661</v>
      </c>
      <c r="E18" s="92" t="s">
        <v>662</v>
      </c>
      <c r="F18" s="92" t="s">
        <v>835</v>
      </c>
      <c r="G18" s="92"/>
      <c r="H18" s="92" t="s">
        <v>28</v>
      </c>
      <c r="I18" s="92"/>
      <c r="J18" s="8"/>
      <c r="K18" s="8"/>
      <c r="L18" s="8"/>
      <c r="M18" s="8"/>
      <c r="N18" s="8"/>
      <c r="O18" s="8"/>
      <c r="P18" s="8"/>
      <c r="Q18" s="8"/>
      <c r="R18" s="8"/>
      <c r="S18" s="8"/>
      <c r="T18" s="8"/>
      <c r="U18" s="8"/>
      <c r="V18" s="8"/>
      <c r="W18" s="8"/>
      <c r="X18" s="8"/>
      <c r="Y18" s="49"/>
      <c r="Z18" s="49"/>
      <c r="AA18" s="49"/>
      <c r="AB18" s="49"/>
    </row>
    <row r="19" spans="1:28" ht="71.25" x14ac:dyDescent="0.2">
      <c r="A19" s="92" t="s">
        <v>105</v>
      </c>
      <c r="B19" s="92" t="s">
        <v>832</v>
      </c>
      <c r="C19" s="92" t="s">
        <v>860</v>
      </c>
      <c r="D19" s="92" t="s">
        <v>663</v>
      </c>
      <c r="E19" s="92"/>
      <c r="F19" s="92" t="s">
        <v>836</v>
      </c>
      <c r="G19" s="92"/>
      <c r="H19" s="92" t="s">
        <v>28</v>
      </c>
      <c r="I19" s="92"/>
      <c r="J19" s="8"/>
      <c r="K19" s="8"/>
      <c r="L19" s="8"/>
      <c r="M19" s="8"/>
      <c r="N19" s="8"/>
      <c r="O19" s="8"/>
      <c r="P19" s="8"/>
      <c r="Q19" s="8"/>
      <c r="R19" s="8"/>
      <c r="S19" s="8"/>
      <c r="T19" s="8"/>
      <c r="U19" s="8"/>
      <c r="V19" s="8"/>
      <c r="W19" s="8"/>
      <c r="X19" s="8"/>
      <c r="Y19" s="49"/>
      <c r="Z19" s="49"/>
      <c r="AA19" s="49"/>
      <c r="AB19" s="49"/>
    </row>
    <row r="20" spans="1:28" ht="71.25" x14ac:dyDescent="0.2">
      <c r="A20" s="92" t="s">
        <v>106</v>
      </c>
      <c r="B20" s="92" t="s">
        <v>837</v>
      </c>
      <c r="C20" s="92" t="s">
        <v>860</v>
      </c>
      <c r="D20" s="92" t="s">
        <v>664</v>
      </c>
      <c r="E20" s="92"/>
      <c r="F20" s="92" t="s">
        <v>838</v>
      </c>
      <c r="G20" s="92"/>
      <c r="H20" s="92" t="s">
        <v>28</v>
      </c>
      <c r="I20" s="92"/>
      <c r="J20" s="8"/>
      <c r="K20" s="8"/>
      <c r="L20" s="8"/>
      <c r="M20" s="8"/>
      <c r="N20" s="8"/>
      <c r="O20" s="8"/>
      <c r="P20" s="8"/>
      <c r="Q20" s="8"/>
      <c r="R20" s="8"/>
      <c r="S20" s="8"/>
      <c r="T20" s="8"/>
      <c r="U20" s="8"/>
      <c r="V20" s="8"/>
      <c r="W20" s="8"/>
      <c r="X20" s="8"/>
      <c r="Y20" s="49"/>
      <c r="Z20" s="49"/>
      <c r="AA20" s="49"/>
      <c r="AB20" s="49"/>
    </row>
    <row r="21" spans="1:28" ht="71.25" x14ac:dyDescent="0.2">
      <c r="A21" s="92" t="s">
        <v>232</v>
      </c>
      <c r="B21" s="92" t="s">
        <v>839</v>
      </c>
      <c r="C21" s="92" t="s">
        <v>860</v>
      </c>
      <c r="D21" s="92" t="s">
        <v>665</v>
      </c>
      <c r="E21" s="92" t="s">
        <v>666</v>
      </c>
      <c r="F21" s="92" t="s">
        <v>667</v>
      </c>
      <c r="G21" s="92"/>
      <c r="H21" s="92" t="s">
        <v>28</v>
      </c>
      <c r="I21" s="92"/>
      <c r="J21" s="8"/>
      <c r="K21" s="8"/>
      <c r="L21" s="8"/>
      <c r="M21" s="8"/>
      <c r="N21" s="8"/>
      <c r="O21" s="8"/>
      <c r="P21" s="8"/>
      <c r="Q21" s="8"/>
      <c r="R21" s="8"/>
      <c r="S21" s="8"/>
      <c r="T21" s="8"/>
      <c r="U21" s="8"/>
      <c r="V21" s="8"/>
      <c r="W21" s="8"/>
      <c r="X21" s="8"/>
      <c r="Y21" s="49"/>
      <c r="Z21" s="49"/>
      <c r="AA21" s="49"/>
      <c r="AB21" s="49"/>
    </row>
    <row r="22" spans="1:28" ht="57" x14ac:dyDescent="0.2">
      <c r="A22" s="92" t="s">
        <v>233</v>
      </c>
      <c r="B22" s="92" t="s">
        <v>840</v>
      </c>
      <c r="C22" s="92" t="s">
        <v>860</v>
      </c>
      <c r="D22" s="92" t="s">
        <v>841</v>
      </c>
      <c r="E22" s="92" t="s">
        <v>668</v>
      </c>
      <c r="F22" s="92" t="s">
        <v>669</v>
      </c>
      <c r="G22" s="92"/>
      <c r="H22" s="92" t="s">
        <v>28</v>
      </c>
      <c r="I22" s="92"/>
      <c r="J22" s="8"/>
      <c r="K22" s="8"/>
      <c r="L22" s="8"/>
      <c r="M22" s="8"/>
      <c r="N22" s="8"/>
      <c r="O22" s="8"/>
      <c r="P22" s="8"/>
      <c r="Q22" s="8"/>
      <c r="R22" s="8"/>
      <c r="S22" s="8"/>
      <c r="T22" s="8"/>
      <c r="U22" s="8"/>
      <c r="V22" s="8"/>
      <c r="W22" s="8"/>
      <c r="X22" s="8"/>
      <c r="Y22" s="49"/>
      <c r="Z22" s="49"/>
      <c r="AA22" s="49"/>
      <c r="AB22" s="49"/>
    </row>
    <row r="23" spans="1:28" ht="71.25" x14ac:dyDescent="0.2">
      <c r="A23" s="92" t="s">
        <v>234</v>
      </c>
      <c r="B23" s="92" t="s">
        <v>842</v>
      </c>
      <c r="C23" s="92" t="s">
        <v>860</v>
      </c>
      <c r="D23" s="92" t="s">
        <v>670</v>
      </c>
      <c r="E23" s="92" t="s">
        <v>732</v>
      </c>
      <c r="F23" s="92" t="s">
        <v>671</v>
      </c>
      <c r="G23" s="92"/>
      <c r="H23" s="92" t="s">
        <v>28</v>
      </c>
      <c r="I23" s="92"/>
      <c r="J23" s="8"/>
      <c r="K23" s="8"/>
      <c r="L23" s="8"/>
      <c r="M23" s="8"/>
      <c r="N23" s="8"/>
      <c r="O23" s="8"/>
      <c r="P23" s="8"/>
      <c r="Q23" s="8"/>
      <c r="R23" s="8"/>
      <c r="S23" s="8"/>
      <c r="T23" s="8"/>
      <c r="U23" s="8"/>
      <c r="V23" s="8"/>
      <c r="W23" s="8"/>
      <c r="X23" s="8"/>
      <c r="Y23" s="49"/>
      <c r="Z23" s="49"/>
      <c r="AA23" s="49"/>
      <c r="AB23" s="49"/>
    </row>
    <row r="24" spans="1:28" ht="71.25" x14ac:dyDescent="0.2">
      <c r="A24" s="92" t="s">
        <v>235</v>
      </c>
      <c r="B24" s="92" t="s">
        <v>843</v>
      </c>
      <c r="C24" s="92" t="s">
        <v>860</v>
      </c>
      <c r="D24" s="92" t="s">
        <v>672</v>
      </c>
      <c r="E24" s="92" t="s">
        <v>673</v>
      </c>
      <c r="F24" s="92" t="s">
        <v>674</v>
      </c>
      <c r="G24" s="92"/>
      <c r="H24" s="92" t="s">
        <v>28</v>
      </c>
      <c r="I24" s="92"/>
      <c r="J24" s="8"/>
      <c r="K24" s="8"/>
      <c r="L24" s="8"/>
      <c r="M24" s="8"/>
      <c r="N24" s="8"/>
      <c r="O24" s="8"/>
      <c r="P24" s="8"/>
      <c r="Q24" s="8"/>
      <c r="R24" s="8"/>
      <c r="S24" s="8"/>
      <c r="T24" s="8"/>
      <c r="U24" s="8"/>
      <c r="V24" s="8"/>
      <c r="W24" s="8"/>
      <c r="X24" s="8"/>
      <c r="Y24" s="49"/>
      <c r="Z24" s="49"/>
      <c r="AA24" s="49"/>
      <c r="AB24" s="49"/>
    </row>
    <row r="25" spans="1:28" ht="71.25" x14ac:dyDescent="0.2">
      <c r="A25" s="92" t="s">
        <v>236</v>
      </c>
      <c r="B25" s="92" t="s">
        <v>844</v>
      </c>
      <c r="C25" s="92" t="s">
        <v>860</v>
      </c>
      <c r="D25" s="92" t="s">
        <v>675</v>
      </c>
      <c r="E25" s="92" t="s">
        <v>676</v>
      </c>
      <c r="F25" s="92" t="s">
        <v>677</v>
      </c>
      <c r="G25" s="92"/>
      <c r="H25" s="92" t="s">
        <v>28</v>
      </c>
      <c r="I25" s="92"/>
      <c r="J25" s="8"/>
      <c r="K25" s="8"/>
      <c r="L25" s="8"/>
      <c r="M25" s="8"/>
      <c r="N25" s="8"/>
      <c r="O25" s="8"/>
      <c r="P25" s="8"/>
      <c r="Q25" s="8"/>
      <c r="R25" s="8"/>
      <c r="S25" s="8"/>
      <c r="T25" s="8"/>
      <c r="U25" s="8"/>
      <c r="V25" s="8"/>
      <c r="W25" s="8"/>
      <c r="X25" s="8"/>
      <c r="Y25" s="49"/>
      <c r="Z25" s="49"/>
      <c r="AA25" s="49"/>
      <c r="AB25" s="49"/>
    </row>
    <row r="26" spans="1:28" ht="71.25" x14ac:dyDescent="0.2">
      <c r="A26" s="92" t="s">
        <v>237</v>
      </c>
      <c r="B26" s="92" t="s">
        <v>845</v>
      </c>
      <c r="C26" s="92" t="s">
        <v>861</v>
      </c>
      <c r="D26" s="92" t="s">
        <v>678</v>
      </c>
      <c r="E26" s="92"/>
      <c r="F26" s="92" t="s">
        <v>679</v>
      </c>
      <c r="G26" s="92"/>
      <c r="H26" s="92" t="s">
        <v>28</v>
      </c>
      <c r="I26" s="92"/>
      <c r="J26" s="8"/>
      <c r="K26" s="8"/>
      <c r="L26" s="8"/>
      <c r="M26" s="8"/>
      <c r="N26" s="8"/>
      <c r="O26" s="8"/>
      <c r="P26" s="8"/>
      <c r="Q26" s="8"/>
      <c r="R26" s="8"/>
      <c r="S26" s="8"/>
      <c r="T26" s="8"/>
      <c r="U26" s="8"/>
      <c r="V26" s="8"/>
      <c r="W26" s="8"/>
      <c r="X26" s="8"/>
      <c r="Y26" s="49"/>
      <c r="Z26" s="49"/>
      <c r="AA26" s="49"/>
      <c r="AB26" s="49"/>
    </row>
    <row r="27" spans="1:28" ht="57" x14ac:dyDescent="0.2">
      <c r="A27" s="92" t="s">
        <v>238</v>
      </c>
      <c r="B27" s="92" t="s">
        <v>846</v>
      </c>
      <c r="C27" s="92" t="s">
        <v>862</v>
      </c>
      <c r="D27" s="92" t="s">
        <v>680</v>
      </c>
      <c r="E27" s="92"/>
      <c r="F27" s="92" t="s">
        <v>855</v>
      </c>
      <c r="G27" s="92"/>
      <c r="H27" s="92" t="s">
        <v>28</v>
      </c>
      <c r="I27" s="92"/>
      <c r="J27" s="8"/>
      <c r="K27" s="8"/>
      <c r="L27" s="8"/>
      <c r="M27" s="8"/>
      <c r="N27" s="8"/>
      <c r="O27" s="8"/>
      <c r="P27" s="8"/>
      <c r="Q27" s="8"/>
      <c r="R27" s="8"/>
      <c r="S27" s="8"/>
      <c r="T27" s="8"/>
      <c r="U27" s="8"/>
      <c r="V27" s="8"/>
      <c r="W27" s="8"/>
      <c r="X27" s="8"/>
      <c r="Y27" s="49"/>
      <c r="Z27" s="49"/>
      <c r="AA27" s="49"/>
      <c r="AB27" s="49"/>
    </row>
    <row r="28" spans="1:28" ht="57" x14ac:dyDescent="0.2">
      <c r="A28" s="92" t="s">
        <v>239</v>
      </c>
      <c r="B28" s="92" t="s">
        <v>847</v>
      </c>
      <c r="C28" s="92" t="s">
        <v>863</v>
      </c>
      <c r="D28" s="92" t="s">
        <v>678</v>
      </c>
      <c r="E28" s="92"/>
      <c r="F28" s="92" t="s">
        <v>681</v>
      </c>
      <c r="G28" s="92"/>
      <c r="H28" s="92" t="s">
        <v>28</v>
      </c>
      <c r="I28" s="92"/>
      <c r="J28" s="8"/>
      <c r="K28" s="8"/>
      <c r="L28" s="8"/>
      <c r="M28" s="8"/>
      <c r="N28" s="8"/>
      <c r="O28" s="8"/>
      <c r="P28" s="8"/>
      <c r="Q28" s="8"/>
      <c r="R28" s="8"/>
      <c r="S28" s="8"/>
      <c r="T28" s="8"/>
      <c r="U28" s="8"/>
      <c r="V28" s="8"/>
      <c r="W28" s="8"/>
      <c r="X28" s="8"/>
      <c r="Y28" s="49"/>
      <c r="Z28" s="49"/>
      <c r="AA28" s="49"/>
      <c r="AB28" s="49"/>
    </row>
    <row r="29" spans="1:28" ht="42.75" x14ac:dyDescent="0.2">
      <c r="A29" s="92" t="s">
        <v>240</v>
      </c>
      <c r="B29" s="92" t="s">
        <v>856</v>
      </c>
      <c r="C29" s="92" t="s">
        <v>864</v>
      </c>
      <c r="D29" s="92" t="s">
        <v>682</v>
      </c>
      <c r="E29" s="92"/>
      <c r="F29" s="92" t="s">
        <v>858</v>
      </c>
      <c r="G29" s="92"/>
      <c r="H29" s="92" t="s">
        <v>28</v>
      </c>
      <c r="I29" s="92"/>
      <c r="J29" s="8"/>
      <c r="K29" s="8"/>
      <c r="L29" s="8"/>
      <c r="M29" s="8"/>
      <c r="N29" s="8"/>
      <c r="O29" s="8"/>
      <c r="P29" s="8"/>
      <c r="Q29" s="8"/>
      <c r="R29" s="8"/>
      <c r="S29" s="8"/>
      <c r="T29" s="8"/>
      <c r="U29" s="8"/>
      <c r="V29" s="8"/>
      <c r="W29" s="8"/>
      <c r="X29" s="8"/>
      <c r="Y29" s="49"/>
      <c r="Z29" s="49"/>
      <c r="AA29" s="49"/>
      <c r="AB29" s="49"/>
    </row>
    <row r="30" spans="1:28" ht="57" x14ac:dyDescent="0.2">
      <c r="A30" s="92" t="s">
        <v>241</v>
      </c>
      <c r="B30" s="92" t="s">
        <v>852</v>
      </c>
      <c r="C30" s="92" t="s">
        <v>860</v>
      </c>
      <c r="D30" s="92" t="s">
        <v>683</v>
      </c>
      <c r="E30" s="92"/>
      <c r="F30" s="92" t="s">
        <v>857</v>
      </c>
      <c r="G30" s="92"/>
      <c r="H30" s="92" t="s">
        <v>28</v>
      </c>
      <c r="I30" s="92"/>
      <c r="J30" s="8"/>
      <c r="K30" s="8"/>
      <c r="L30" s="8"/>
      <c r="M30" s="8"/>
      <c r="N30" s="8"/>
      <c r="O30" s="8"/>
      <c r="P30" s="8"/>
      <c r="Q30" s="8"/>
      <c r="R30" s="8"/>
      <c r="S30" s="8"/>
      <c r="T30" s="8"/>
      <c r="U30" s="8"/>
      <c r="V30" s="8"/>
      <c r="W30" s="8"/>
      <c r="X30" s="8"/>
      <c r="Y30" s="49"/>
      <c r="Z30" s="49"/>
      <c r="AA30" s="49"/>
      <c r="AB30" s="49"/>
    </row>
    <row r="31" spans="1:28" ht="85.5" x14ac:dyDescent="0.2">
      <c r="A31" s="92" t="s">
        <v>242</v>
      </c>
      <c r="B31" s="92" t="s">
        <v>848</v>
      </c>
      <c r="C31" s="92" t="s">
        <v>860</v>
      </c>
      <c r="D31" s="92" t="s">
        <v>853</v>
      </c>
      <c r="E31" s="92" t="s">
        <v>684</v>
      </c>
      <c r="F31" s="92" t="s">
        <v>854</v>
      </c>
      <c r="G31" s="92"/>
      <c r="H31" s="92" t="s">
        <v>28</v>
      </c>
      <c r="I31" s="92"/>
      <c r="J31" s="8"/>
      <c r="K31" s="8"/>
      <c r="L31" s="8"/>
      <c r="M31" s="8"/>
      <c r="N31" s="8"/>
      <c r="O31" s="8"/>
      <c r="P31" s="8"/>
      <c r="Q31" s="8"/>
      <c r="R31" s="8"/>
      <c r="S31" s="8"/>
      <c r="T31" s="8"/>
      <c r="U31" s="8"/>
      <c r="V31" s="8"/>
      <c r="W31" s="8"/>
      <c r="X31" s="8"/>
      <c r="Y31" s="49"/>
      <c r="Z31" s="49"/>
      <c r="AA31" s="49"/>
      <c r="AB31" s="49"/>
    </row>
    <row r="32" spans="1:28" ht="71.25" x14ac:dyDescent="0.2">
      <c r="A32" s="92" t="s">
        <v>252</v>
      </c>
      <c r="B32" s="92" t="s">
        <v>849</v>
      </c>
      <c r="C32" s="92" t="s">
        <v>860</v>
      </c>
      <c r="D32" s="92" t="s">
        <v>685</v>
      </c>
      <c r="E32" s="92"/>
      <c r="F32" s="92" t="s">
        <v>859</v>
      </c>
      <c r="G32" s="92"/>
      <c r="H32" s="92" t="s">
        <v>28</v>
      </c>
      <c r="I32" s="92"/>
      <c r="J32" s="8"/>
      <c r="K32" s="8"/>
      <c r="L32" s="8"/>
      <c r="M32" s="8"/>
      <c r="N32" s="8"/>
      <c r="O32" s="8"/>
      <c r="P32" s="8"/>
      <c r="Q32" s="8"/>
      <c r="R32" s="8"/>
      <c r="S32" s="8"/>
      <c r="T32" s="8"/>
      <c r="U32" s="8"/>
      <c r="V32" s="8"/>
      <c r="W32" s="8"/>
      <c r="X32" s="8"/>
      <c r="Y32" s="49"/>
      <c r="Z32" s="49"/>
      <c r="AA32" s="49"/>
      <c r="AB32" s="49"/>
    </row>
    <row r="33" spans="1:28" ht="85.5" x14ac:dyDescent="0.2">
      <c r="A33" s="92" t="s">
        <v>243</v>
      </c>
      <c r="B33" s="92" t="s">
        <v>850</v>
      </c>
      <c r="C33" s="92" t="s">
        <v>860</v>
      </c>
      <c r="D33" s="92" t="s">
        <v>686</v>
      </c>
      <c r="E33" s="92"/>
      <c r="F33" s="92" t="s">
        <v>877</v>
      </c>
      <c r="G33" s="92"/>
      <c r="H33" s="92" t="s">
        <v>28</v>
      </c>
      <c r="I33" s="92"/>
      <c r="J33" s="8"/>
      <c r="K33" s="8"/>
      <c r="L33" s="8"/>
      <c r="M33" s="8"/>
      <c r="N33" s="8"/>
      <c r="O33" s="8"/>
      <c r="P33" s="8"/>
      <c r="Q33" s="8"/>
      <c r="R33" s="8"/>
      <c r="S33" s="8"/>
      <c r="T33" s="8"/>
      <c r="U33" s="8"/>
      <c r="V33" s="8"/>
      <c r="W33" s="8"/>
      <c r="X33" s="8"/>
      <c r="Y33" s="49"/>
      <c r="Z33" s="49"/>
      <c r="AA33" s="49"/>
      <c r="AB33" s="49"/>
    </row>
    <row r="34" spans="1:28" ht="71.25" x14ac:dyDescent="0.2">
      <c r="A34" s="92" t="s">
        <v>244</v>
      </c>
      <c r="B34" s="92" t="s">
        <v>624</v>
      </c>
      <c r="C34" s="92" t="s">
        <v>627</v>
      </c>
      <c r="D34" s="92" t="s">
        <v>628</v>
      </c>
      <c r="E34" s="92"/>
      <c r="F34" s="92" t="s">
        <v>629</v>
      </c>
      <c r="G34" s="92"/>
      <c r="H34" s="92" t="s">
        <v>28</v>
      </c>
      <c r="I34" s="92"/>
      <c r="J34" s="8"/>
      <c r="K34" s="8"/>
      <c r="L34" s="8"/>
      <c r="M34" s="8"/>
      <c r="N34" s="8"/>
      <c r="O34" s="8"/>
      <c r="P34" s="8"/>
      <c r="Q34" s="8"/>
      <c r="R34" s="8"/>
      <c r="S34" s="8"/>
      <c r="T34" s="8"/>
      <c r="U34" s="8"/>
      <c r="V34" s="8"/>
      <c r="W34" s="8"/>
      <c r="X34" s="8"/>
      <c r="Y34" s="49"/>
      <c r="Z34" s="49"/>
      <c r="AA34" s="49"/>
      <c r="AB34" s="49"/>
    </row>
    <row r="35" spans="1:28" ht="71.25" x14ac:dyDescent="0.2">
      <c r="A35" s="92" t="s">
        <v>253</v>
      </c>
      <c r="B35" s="92" t="s">
        <v>851</v>
      </c>
      <c r="C35" s="92" t="s">
        <v>447</v>
      </c>
      <c r="D35" s="92" t="s">
        <v>630</v>
      </c>
      <c r="E35" s="92" t="s">
        <v>727</v>
      </c>
      <c r="F35" s="92" t="s">
        <v>823</v>
      </c>
      <c r="G35" s="92"/>
      <c r="H35" s="92" t="s">
        <v>25</v>
      </c>
      <c r="I35" s="92"/>
      <c r="J35" s="8"/>
      <c r="K35" s="8"/>
      <c r="L35" s="8"/>
      <c r="M35" s="8"/>
      <c r="N35" s="8"/>
      <c r="O35" s="8"/>
      <c r="P35" s="8"/>
      <c r="Q35" s="8"/>
      <c r="R35" s="8"/>
      <c r="S35" s="8"/>
      <c r="T35" s="8"/>
      <c r="U35" s="8"/>
      <c r="V35" s="8"/>
      <c r="W35" s="8"/>
      <c r="X35" s="8"/>
      <c r="Y35" s="49"/>
      <c r="Z35" s="49"/>
      <c r="AA35" s="49"/>
      <c r="AB35" s="49"/>
    </row>
    <row r="36" spans="1:28" ht="15" x14ac:dyDescent="0.2">
      <c r="A36" s="174" t="s">
        <v>86</v>
      </c>
      <c r="B36" s="175"/>
      <c r="C36" s="175"/>
      <c r="D36" s="175"/>
      <c r="E36" s="175"/>
      <c r="F36" s="175"/>
      <c r="G36" s="175"/>
      <c r="H36" s="175"/>
      <c r="I36" s="115"/>
      <c r="J36" s="86"/>
      <c r="K36" s="86"/>
      <c r="L36" s="86"/>
      <c r="M36" s="86"/>
      <c r="N36" s="86"/>
      <c r="O36" s="86"/>
      <c r="P36" s="86"/>
      <c r="Q36" s="86"/>
      <c r="R36" s="86"/>
      <c r="S36" s="86"/>
      <c r="T36" s="86"/>
      <c r="U36" s="86"/>
      <c r="V36" s="86"/>
      <c r="W36" s="86"/>
      <c r="X36" s="86"/>
      <c r="Y36" s="86"/>
      <c r="Z36" s="86"/>
      <c r="AA36" s="49"/>
      <c r="AB36" s="49"/>
    </row>
    <row r="37" spans="1:28" ht="99.75" x14ac:dyDescent="0.2">
      <c r="A37" s="92" t="s">
        <v>245</v>
      </c>
      <c r="B37" s="92" t="s">
        <v>631</v>
      </c>
      <c r="C37" s="92" t="s">
        <v>871</v>
      </c>
      <c r="D37" s="92" t="s">
        <v>637</v>
      </c>
      <c r="E37" s="92"/>
      <c r="F37" s="92" t="s">
        <v>824</v>
      </c>
      <c r="G37" s="92"/>
      <c r="H37" s="92" t="s">
        <v>25</v>
      </c>
      <c r="I37" s="92"/>
      <c r="J37" s="8"/>
      <c r="K37" s="8"/>
      <c r="L37" s="8"/>
      <c r="M37" s="8"/>
      <c r="N37" s="8"/>
      <c r="O37" s="8"/>
      <c r="P37" s="8"/>
      <c r="Q37" s="8"/>
      <c r="R37" s="8"/>
      <c r="S37" s="8"/>
      <c r="T37" s="8"/>
      <c r="U37" s="8"/>
      <c r="V37" s="8"/>
      <c r="W37" s="8"/>
      <c r="X37" s="8"/>
      <c r="Y37" s="49"/>
      <c r="Z37" s="49"/>
      <c r="AA37" s="49"/>
      <c r="AB37" s="49"/>
    </row>
    <row r="38" spans="1:28" ht="57" x14ac:dyDescent="0.2">
      <c r="A38" s="92" t="s">
        <v>246</v>
      </c>
      <c r="B38" s="92" t="s">
        <v>632</v>
      </c>
      <c r="C38" s="92" t="s">
        <v>872</v>
      </c>
      <c r="D38" s="92" t="s">
        <v>638</v>
      </c>
      <c r="E38" s="92"/>
      <c r="F38" s="92" t="s">
        <v>876</v>
      </c>
      <c r="G38" s="92"/>
      <c r="H38" s="92" t="s">
        <v>25</v>
      </c>
      <c r="I38" s="92"/>
      <c r="J38" s="8"/>
      <c r="K38" s="8"/>
      <c r="L38" s="8"/>
      <c r="M38" s="8"/>
      <c r="N38" s="8"/>
      <c r="O38" s="8"/>
      <c r="P38" s="8"/>
      <c r="Q38" s="8"/>
      <c r="R38" s="8"/>
      <c r="S38" s="8"/>
      <c r="T38" s="8"/>
      <c r="U38" s="8"/>
      <c r="V38" s="8"/>
      <c r="W38" s="8"/>
      <c r="X38" s="8"/>
      <c r="Y38" s="49"/>
      <c r="Z38" s="49"/>
      <c r="AA38" s="49"/>
      <c r="AB38" s="49"/>
    </row>
    <row r="39" spans="1:28" ht="42.75" x14ac:dyDescent="0.2">
      <c r="A39" s="92" t="s">
        <v>247</v>
      </c>
      <c r="B39" s="92" t="s">
        <v>633</v>
      </c>
      <c r="C39" s="92" t="s">
        <v>873</v>
      </c>
      <c r="D39" s="92" t="s">
        <v>639</v>
      </c>
      <c r="E39" s="92"/>
      <c r="F39" s="92" t="s">
        <v>825</v>
      </c>
      <c r="G39" s="92"/>
      <c r="H39" s="92" t="s">
        <v>25</v>
      </c>
      <c r="I39" s="92"/>
      <c r="J39" s="8"/>
      <c r="K39" s="8"/>
      <c r="L39" s="8"/>
      <c r="M39" s="8"/>
      <c r="N39" s="8"/>
      <c r="O39" s="8"/>
      <c r="P39" s="8"/>
      <c r="Q39" s="8"/>
      <c r="R39" s="8"/>
      <c r="S39" s="8"/>
      <c r="T39" s="8"/>
      <c r="U39" s="8"/>
      <c r="V39" s="8"/>
      <c r="W39" s="8"/>
      <c r="X39" s="8"/>
      <c r="Y39" s="49"/>
      <c r="Z39" s="49"/>
      <c r="AA39" s="49"/>
      <c r="AB39" s="49"/>
    </row>
    <row r="40" spans="1:28" ht="57" x14ac:dyDescent="0.2">
      <c r="A40" s="92" t="s">
        <v>248</v>
      </c>
      <c r="B40" s="92" t="s">
        <v>634</v>
      </c>
      <c r="C40" s="92" t="s">
        <v>147</v>
      </c>
      <c r="D40" s="92" t="s">
        <v>640</v>
      </c>
      <c r="E40" s="92" t="s">
        <v>726</v>
      </c>
      <c r="F40" s="92" t="s">
        <v>826</v>
      </c>
      <c r="G40" s="92"/>
      <c r="H40" s="92" t="s">
        <v>25</v>
      </c>
      <c r="I40" s="92"/>
      <c r="J40" s="8"/>
      <c r="K40" s="8"/>
      <c r="L40" s="8"/>
      <c r="M40" s="8"/>
      <c r="N40" s="8"/>
      <c r="O40" s="8"/>
      <c r="P40" s="8"/>
      <c r="Q40" s="8"/>
      <c r="R40" s="8"/>
      <c r="S40" s="8"/>
      <c r="T40" s="8"/>
      <c r="U40" s="8"/>
      <c r="V40" s="8"/>
      <c r="W40" s="8"/>
      <c r="X40" s="8"/>
      <c r="Y40" s="49"/>
      <c r="Z40" s="49"/>
      <c r="AA40" s="49"/>
      <c r="AB40" s="49"/>
    </row>
    <row r="41" spans="1:28" ht="85.5" x14ac:dyDescent="0.2">
      <c r="A41" s="92" t="s">
        <v>249</v>
      </c>
      <c r="B41" s="92" t="s">
        <v>635</v>
      </c>
      <c r="C41" s="92" t="s">
        <v>874</v>
      </c>
      <c r="D41" s="92" t="s">
        <v>641</v>
      </c>
      <c r="E41" s="92" t="s">
        <v>731</v>
      </c>
      <c r="F41" s="92" t="s">
        <v>642</v>
      </c>
      <c r="G41" s="92"/>
      <c r="H41" s="92" t="s">
        <v>25</v>
      </c>
      <c r="I41" s="92"/>
      <c r="J41" s="8"/>
      <c r="K41" s="8"/>
      <c r="L41" s="8"/>
      <c r="M41" s="8"/>
      <c r="N41" s="8"/>
      <c r="O41" s="8"/>
      <c r="P41" s="8"/>
      <c r="Q41" s="8"/>
      <c r="R41" s="8"/>
      <c r="S41" s="8"/>
      <c r="T41" s="8"/>
      <c r="U41" s="8"/>
      <c r="V41" s="8"/>
      <c r="W41" s="8"/>
      <c r="X41" s="8"/>
      <c r="Y41" s="49"/>
      <c r="Z41" s="49"/>
      <c r="AA41" s="49"/>
      <c r="AB41" s="49"/>
    </row>
    <row r="42" spans="1:28" ht="85.5" x14ac:dyDescent="0.2">
      <c r="A42" s="92" t="s">
        <v>250</v>
      </c>
      <c r="B42" s="92" t="s">
        <v>636</v>
      </c>
      <c r="C42" s="92" t="s">
        <v>875</v>
      </c>
      <c r="D42" s="92" t="s">
        <v>643</v>
      </c>
      <c r="E42" s="92"/>
      <c r="F42" s="92" t="s">
        <v>644</v>
      </c>
      <c r="G42" s="92"/>
      <c r="H42" s="92" t="s">
        <v>25</v>
      </c>
      <c r="I42" s="92"/>
      <c r="J42" s="8"/>
      <c r="K42" s="8"/>
      <c r="L42" s="8"/>
      <c r="M42" s="8"/>
      <c r="N42" s="8"/>
      <c r="O42" s="8"/>
      <c r="P42" s="8"/>
      <c r="Q42" s="8"/>
      <c r="R42" s="8"/>
      <c r="S42" s="8"/>
      <c r="T42" s="8"/>
      <c r="U42" s="8"/>
      <c r="V42" s="8"/>
      <c r="W42" s="8"/>
      <c r="X42" s="8"/>
      <c r="Y42" s="49"/>
      <c r="Z42" s="49"/>
      <c r="AA42" s="49"/>
      <c r="AB42" s="49"/>
    </row>
    <row r="43" spans="1:28" ht="15" x14ac:dyDescent="0.2">
      <c r="A43" s="174" t="s">
        <v>160</v>
      </c>
      <c r="B43" s="175"/>
      <c r="C43" s="175"/>
      <c r="D43" s="175"/>
      <c r="E43" s="175"/>
      <c r="F43" s="175"/>
      <c r="G43" s="175"/>
      <c r="H43" s="175"/>
      <c r="I43" s="115"/>
      <c r="J43" s="86"/>
      <c r="K43" s="86"/>
      <c r="L43" s="86"/>
      <c r="M43" s="86"/>
      <c r="N43" s="86"/>
      <c r="O43" s="86"/>
      <c r="P43" s="86"/>
      <c r="Q43" s="86"/>
      <c r="R43" s="86"/>
      <c r="S43" s="86"/>
      <c r="T43" s="86"/>
      <c r="U43" s="86"/>
      <c r="V43" s="86"/>
      <c r="W43" s="86"/>
      <c r="X43" s="86"/>
      <c r="Y43" s="86"/>
      <c r="Z43" s="86"/>
      <c r="AA43" s="49"/>
      <c r="AB43" s="49"/>
    </row>
    <row r="44" spans="1:28" ht="71.25" x14ac:dyDescent="0.2">
      <c r="A44" s="92" t="s">
        <v>251</v>
      </c>
      <c r="B44" s="92" t="s">
        <v>625</v>
      </c>
      <c r="C44" s="92" t="s">
        <v>860</v>
      </c>
      <c r="D44" s="92" t="s">
        <v>626</v>
      </c>
      <c r="E44" s="92"/>
      <c r="F44" s="92" t="s">
        <v>827</v>
      </c>
      <c r="G44" s="92"/>
      <c r="H44" s="92" t="s">
        <v>28</v>
      </c>
      <c r="I44" s="92"/>
      <c r="J44" s="8"/>
      <c r="K44" s="8"/>
      <c r="L44" s="8"/>
      <c r="M44" s="8"/>
      <c r="N44" s="8"/>
      <c r="O44" s="8"/>
      <c r="P44" s="8"/>
      <c r="Q44" s="8"/>
      <c r="R44" s="8"/>
      <c r="S44" s="8"/>
      <c r="T44" s="8"/>
      <c r="U44" s="8"/>
      <c r="V44" s="8"/>
      <c r="W44" s="8"/>
      <c r="X44" s="8"/>
      <c r="Y44" s="49"/>
      <c r="Z44" s="49"/>
      <c r="AA44" s="49"/>
      <c r="AB44" s="49"/>
    </row>
    <row r="45" spans="1:28" ht="14.25"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4.25"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49"/>
      <c r="Z188" s="49"/>
      <c r="AA188" s="49"/>
      <c r="AB188" s="49"/>
    </row>
    <row r="189" spans="1:28" ht="14.25"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49"/>
      <c r="Z189" s="49"/>
      <c r="AA189" s="49"/>
      <c r="AB189" s="49"/>
    </row>
    <row r="190" spans="1:28" ht="14.25" x14ac:dyDescent="0.2">
      <c r="A190" s="8"/>
      <c r="B190" s="8"/>
      <c r="C190" s="8"/>
      <c r="D190" s="8"/>
      <c r="E190" s="8"/>
      <c r="F190" s="8"/>
      <c r="G190" s="8"/>
      <c r="H190" s="8"/>
      <c r="I190" s="8"/>
      <c r="J190" s="49"/>
      <c r="K190" s="49"/>
      <c r="L190" s="49"/>
      <c r="M190" s="49"/>
      <c r="N190" s="49"/>
      <c r="O190" s="49"/>
      <c r="P190" s="49"/>
      <c r="Q190" s="49"/>
      <c r="R190" s="49"/>
      <c r="S190" s="49"/>
      <c r="T190" s="49"/>
      <c r="U190" s="49"/>
      <c r="V190" s="49"/>
      <c r="W190" s="49"/>
      <c r="X190" s="49"/>
      <c r="Y190" s="49"/>
      <c r="Z190" s="49"/>
      <c r="AA190" s="49"/>
      <c r="AB190" s="49"/>
    </row>
    <row r="191" spans="1:28" ht="14.25" x14ac:dyDescent="0.2">
      <c r="A191" s="8"/>
      <c r="B191" s="8"/>
      <c r="C191" s="8"/>
      <c r="D191" s="8"/>
      <c r="E191" s="8"/>
      <c r="F191" s="8"/>
      <c r="G191" s="8"/>
      <c r="H191" s="8"/>
      <c r="I191" s="8"/>
      <c r="J191" s="49"/>
      <c r="K191" s="49"/>
      <c r="L191" s="49"/>
      <c r="M191" s="49"/>
      <c r="N191" s="49"/>
      <c r="O191" s="49"/>
      <c r="P191" s="49"/>
      <c r="Q191" s="49"/>
      <c r="R191" s="49"/>
      <c r="S191" s="49"/>
      <c r="T191" s="49"/>
      <c r="U191" s="49"/>
      <c r="V191" s="49"/>
      <c r="W191" s="49"/>
      <c r="X191" s="49"/>
      <c r="Y191" s="49"/>
      <c r="Z191" s="49"/>
      <c r="AA191" s="49"/>
      <c r="AB191" s="49"/>
    </row>
    <row r="192" spans="1:28" ht="14.25" x14ac:dyDescent="0.2">
      <c r="A192" s="8"/>
      <c r="B192" s="8"/>
      <c r="C192" s="8"/>
      <c r="D192" s="8"/>
      <c r="E192" s="8"/>
      <c r="F192" s="8"/>
      <c r="G192" s="8"/>
      <c r="H192" s="8"/>
      <c r="I192" s="8"/>
      <c r="J192" s="49"/>
      <c r="K192" s="49"/>
      <c r="L192" s="49"/>
      <c r="M192" s="49"/>
      <c r="N192" s="49"/>
      <c r="O192" s="49"/>
      <c r="P192" s="49"/>
      <c r="Q192" s="49"/>
      <c r="R192" s="49"/>
      <c r="S192" s="49"/>
      <c r="T192" s="49"/>
      <c r="U192" s="49"/>
      <c r="V192" s="49"/>
      <c r="W192" s="49"/>
      <c r="X192" s="49"/>
      <c r="Y192" s="49"/>
      <c r="Z192" s="49"/>
      <c r="AA192" s="49"/>
      <c r="AB192" s="49"/>
    </row>
    <row r="193" spans="1:28" ht="14.25" x14ac:dyDescent="0.2">
      <c r="A193" s="8"/>
      <c r="B193" s="8"/>
      <c r="C193" s="8"/>
      <c r="D193" s="8"/>
      <c r="E193" s="8"/>
      <c r="F193" s="8"/>
      <c r="G193" s="8"/>
      <c r="H193" s="8"/>
      <c r="I193" s="8"/>
      <c r="J193" s="49"/>
      <c r="K193" s="49"/>
      <c r="L193" s="49"/>
      <c r="M193" s="49"/>
      <c r="N193" s="49"/>
      <c r="O193" s="49"/>
      <c r="P193" s="49"/>
      <c r="Q193" s="49"/>
      <c r="R193" s="49"/>
      <c r="S193" s="49"/>
      <c r="T193" s="49"/>
      <c r="U193" s="49"/>
      <c r="V193" s="49"/>
      <c r="W193" s="49"/>
      <c r="X193" s="49"/>
      <c r="Y193" s="49"/>
      <c r="Z193" s="49"/>
      <c r="AA193" s="49"/>
      <c r="AB193" s="49"/>
    </row>
    <row r="194" spans="1:28" ht="14.25" x14ac:dyDescent="0.2">
      <c r="A194" s="8"/>
      <c r="B194" s="8"/>
      <c r="C194" s="8"/>
      <c r="D194" s="8"/>
      <c r="E194" s="8"/>
      <c r="F194" s="8"/>
      <c r="G194" s="8"/>
      <c r="H194" s="8"/>
      <c r="I194" s="8"/>
      <c r="J194" s="49"/>
      <c r="K194" s="49"/>
      <c r="L194" s="49"/>
      <c r="M194" s="49"/>
      <c r="N194" s="49"/>
      <c r="O194" s="49"/>
      <c r="P194" s="49"/>
      <c r="Q194" s="49"/>
      <c r="R194" s="49"/>
      <c r="S194" s="49"/>
      <c r="T194" s="49"/>
      <c r="U194" s="49"/>
      <c r="V194" s="49"/>
      <c r="W194" s="49"/>
      <c r="X194" s="49"/>
      <c r="Y194" s="49"/>
      <c r="Z194" s="49"/>
      <c r="AA194" s="49"/>
      <c r="AB194" s="49"/>
    </row>
    <row r="195" spans="1:28" ht="14.25" x14ac:dyDescent="0.2">
      <c r="A195" s="8"/>
      <c r="B195" s="8"/>
      <c r="C195" s="8"/>
      <c r="D195" s="8"/>
      <c r="E195" s="8"/>
      <c r="F195" s="8"/>
      <c r="G195" s="8"/>
      <c r="H195" s="8"/>
      <c r="I195" s="8"/>
      <c r="J195" s="49"/>
      <c r="K195" s="49"/>
      <c r="L195" s="49"/>
      <c r="M195" s="49"/>
      <c r="N195" s="49"/>
      <c r="O195" s="49"/>
      <c r="P195" s="49"/>
      <c r="Q195" s="49"/>
      <c r="R195" s="49"/>
      <c r="S195" s="49"/>
      <c r="T195" s="49"/>
      <c r="U195" s="49"/>
      <c r="V195" s="49"/>
      <c r="W195" s="49"/>
      <c r="X195" s="49"/>
      <c r="Y195" s="49"/>
      <c r="Z195" s="49"/>
      <c r="AA195" s="49"/>
      <c r="AB195" s="49"/>
    </row>
    <row r="196" spans="1:28" ht="14.25" x14ac:dyDescent="0.2">
      <c r="A196" s="8"/>
      <c r="B196" s="8"/>
      <c r="C196" s="8"/>
      <c r="D196" s="8"/>
      <c r="E196" s="8"/>
      <c r="F196" s="8"/>
      <c r="G196" s="8"/>
      <c r="H196" s="8"/>
      <c r="I196" s="8"/>
      <c r="J196" s="49"/>
      <c r="K196" s="49"/>
      <c r="L196" s="49"/>
      <c r="M196" s="49"/>
      <c r="N196" s="49"/>
      <c r="O196" s="49"/>
      <c r="P196" s="49"/>
      <c r="Q196" s="49"/>
      <c r="R196" s="49"/>
      <c r="S196" s="49"/>
      <c r="T196" s="49"/>
      <c r="U196" s="49"/>
      <c r="V196" s="49"/>
      <c r="W196" s="49"/>
      <c r="X196" s="49"/>
      <c r="Y196" s="49"/>
      <c r="Z196" s="49"/>
      <c r="AA196" s="49"/>
      <c r="AB196" s="49"/>
    </row>
    <row r="197" spans="1:28" ht="14.25" x14ac:dyDescent="0.2">
      <c r="A197" s="8"/>
      <c r="B197" s="8"/>
      <c r="C197" s="8"/>
      <c r="D197" s="8"/>
      <c r="E197" s="8"/>
      <c r="F197" s="8"/>
      <c r="G197" s="8"/>
      <c r="H197" s="8"/>
      <c r="I197" s="8"/>
      <c r="J197" s="49"/>
      <c r="K197" s="49"/>
      <c r="L197" s="49"/>
      <c r="M197" s="49"/>
      <c r="N197" s="49"/>
      <c r="O197" s="49"/>
      <c r="P197" s="49"/>
      <c r="Q197" s="49"/>
      <c r="R197" s="49"/>
      <c r="S197" s="49"/>
      <c r="T197" s="49"/>
      <c r="U197" s="49"/>
      <c r="V197" s="49"/>
      <c r="W197" s="49"/>
      <c r="X197" s="49"/>
      <c r="Y197" s="49"/>
      <c r="Z197" s="49"/>
      <c r="AA197" s="49"/>
      <c r="AB197" s="49"/>
    </row>
    <row r="198" spans="1:28" ht="14.25" x14ac:dyDescent="0.2">
      <c r="A198" s="8"/>
      <c r="B198" s="8"/>
      <c r="C198" s="8"/>
      <c r="D198" s="8"/>
      <c r="E198" s="8"/>
      <c r="F198" s="8"/>
      <c r="G198" s="8"/>
      <c r="H198" s="8"/>
      <c r="I198" s="8"/>
      <c r="J198" s="49"/>
      <c r="K198" s="49"/>
      <c r="L198" s="49"/>
      <c r="M198" s="49"/>
      <c r="N198" s="49"/>
      <c r="O198" s="49"/>
      <c r="P198" s="49"/>
      <c r="Q198" s="49"/>
      <c r="R198" s="49"/>
      <c r="S198" s="49"/>
      <c r="T198" s="49"/>
      <c r="U198" s="49"/>
      <c r="V198" s="49"/>
      <c r="W198" s="49"/>
      <c r="X198" s="49"/>
      <c r="Y198" s="49"/>
      <c r="Z198" s="49"/>
      <c r="AA198" s="49"/>
      <c r="AB198" s="49"/>
    </row>
    <row r="199" spans="1:28" ht="14.25" x14ac:dyDescent="0.2">
      <c r="A199" s="8"/>
      <c r="B199" s="8"/>
      <c r="C199" s="8"/>
      <c r="D199" s="8"/>
      <c r="E199" s="8"/>
      <c r="F199" s="8"/>
      <c r="G199" s="8"/>
      <c r="H199" s="8"/>
      <c r="I199" s="8"/>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8"/>
      <c r="B200" s="8"/>
      <c r="C200" s="8"/>
      <c r="D200" s="8"/>
      <c r="E200" s="8"/>
      <c r="F200" s="8"/>
      <c r="G200" s="8"/>
      <c r="H200" s="8"/>
      <c r="I200" s="8"/>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4.25"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spans="1:28" ht="14.25"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spans="1:28" ht="14.25" x14ac:dyDescent="0.2">
      <c r="A967" s="49"/>
      <c r="B967" s="49"/>
      <c r="C967" s="49"/>
      <c r="D967" s="49"/>
      <c r="E967" s="49"/>
      <c r="F967" s="49"/>
      <c r="G967" s="49"/>
      <c r="H967" s="49"/>
      <c r="I967" s="49"/>
    </row>
    <row r="968" spans="1:28" ht="14.25" x14ac:dyDescent="0.2">
      <c r="A968" s="49"/>
      <c r="B968" s="49"/>
      <c r="C968" s="49"/>
      <c r="D968" s="49"/>
      <c r="E968" s="49"/>
      <c r="F968" s="49"/>
      <c r="G968" s="49"/>
      <c r="H968" s="49"/>
      <c r="I968" s="49"/>
    </row>
    <row r="969" spans="1:28" ht="14.25" x14ac:dyDescent="0.2">
      <c r="A969" s="49"/>
      <c r="B969" s="49"/>
      <c r="C969" s="49"/>
      <c r="D969" s="49"/>
      <c r="E969" s="49"/>
      <c r="F969" s="49"/>
      <c r="G969" s="49"/>
      <c r="H969" s="49"/>
      <c r="I969" s="49"/>
    </row>
    <row r="970" spans="1:28" ht="14.25" x14ac:dyDescent="0.2">
      <c r="A970" s="49"/>
      <c r="B970" s="49"/>
      <c r="C970" s="49"/>
      <c r="D970" s="49"/>
      <c r="E970" s="49"/>
      <c r="F970" s="49"/>
      <c r="G970" s="49"/>
      <c r="H970" s="49"/>
      <c r="I970" s="49"/>
    </row>
    <row r="971" spans="1:28" ht="14.25" x14ac:dyDescent="0.2">
      <c r="A971" s="49"/>
      <c r="B971" s="49"/>
      <c r="C971" s="49"/>
      <c r="D971" s="49"/>
      <c r="E971" s="49"/>
      <c r="F971" s="49"/>
      <c r="G971" s="49"/>
      <c r="H971" s="49"/>
      <c r="I971" s="49"/>
    </row>
    <row r="972" spans="1:28" ht="14.25" x14ac:dyDescent="0.2">
      <c r="A972" s="49"/>
      <c r="B972" s="49"/>
      <c r="C972" s="49"/>
      <c r="D972" s="49"/>
      <c r="E972" s="49"/>
      <c r="F972" s="49"/>
      <c r="G972" s="49"/>
      <c r="H972" s="49"/>
      <c r="I972" s="49"/>
    </row>
    <row r="973" spans="1:28" ht="14.25" x14ac:dyDescent="0.2">
      <c r="A973" s="49"/>
      <c r="B973" s="49"/>
      <c r="C973" s="49"/>
      <c r="D973" s="49"/>
      <c r="E973" s="49"/>
      <c r="F973" s="49"/>
      <c r="G973" s="49"/>
      <c r="H973" s="49"/>
      <c r="I973" s="49"/>
    </row>
    <row r="974" spans="1:28" ht="14.25" x14ac:dyDescent="0.2">
      <c r="A974" s="49"/>
      <c r="B974" s="49"/>
      <c r="C974" s="49"/>
      <c r="D974" s="49"/>
      <c r="E974" s="49"/>
      <c r="F974" s="49"/>
      <c r="G974" s="49"/>
      <c r="H974" s="49"/>
      <c r="I974" s="49"/>
    </row>
    <row r="975" spans="1:28" ht="14.25" x14ac:dyDescent="0.2">
      <c r="A975" s="49"/>
      <c r="B975" s="49"/>
      <c r="C975" s="49"/>
      <c r="D975" s="49"/>
      <c r="E975" s="49"/>
      <c r="F975" s="49"/>
      <c r="G975" s="49"/>
      <c r="H975" s="49"/>
      <c r="I975" s="49"/>
    </row>
    <row r="976" spans="1:28" ht="14.25" x14ac:dyDescent="0.2">
      <c r="A976" s="49"/>
      <c r="B976" s="49"/>
      <c r="C976" s="49"/>
      <c r="D976" s="49"/>
      <c r="E976" s="49"/>
      <c r="F976" s="49"/>
      <c r="G976" s="49"/>
      <c r="H976" s="49"/>
      <c r="I976" s="49"/>
    </row>
    <row r="977" spans="1:9" ht="14.25" x14ac:dyDescent="0.2">
      <c r="A977" s="49"/>
      <c r="B977" s="49"/>
      <c r="C977" s="49"/>
      <c r="D977" s="49"/>
      <c r="E977" s="49"/>
      <c r="F977" s="49"/>
      <c r="G977" s="49"/>
      <c r="H977" s="49"/>
      <c r="I977" s="49"/>
    </row>
  </sheetData>
  <mergeCells count="3">
    <mergeCell ref="A9:H9"/>
    <mergeCell ref="A36:H36"/>
    <mergeCell ref="A43:H43"/>
  </mergeCells>
  <phoneticPr fontId="28" type="noConversion"/>
  <dataValidations count="1">
    <dataValidation type="list" allowBlank="1" showInputMessage="1" showErrorMessage="1" sqref="H10:H35 H44 H37:H42" xr:uid="{07D93E1E-2AFA-43E1-A4E7-7A0F7B740808}">
      <formula1>"'Pass,'Fail,'Untest,'N/A"</formula1>
    </dataValidation>
  </dataValidations>
  <hyperlinks>
    <hyperlink ref="B2" location="null!A1" display="Back to TestReport" xr:uid="{D614E771-D4F1-4225-B62D-27C161F77A24}"/>
  </hyperlink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5FF4-896C-4D1A-9BC7-651C663EE597}">
  <sheetPr>
    <outlinePr summaryBelow="0" summaryRight="0"/>
  </sheetPr>
  <dimension ref="A1:AB974"/>
  <sheetViews>
    <sheetView zoomScaleNormal="100" workbookViewId="0">
      <pane xSplit="1" ySplit="8" topLeftCell="B35" activePane="bottomRight" state="frozen"/>
      <selection pane="topRight" activeCell="B1" sqref="B1"/>
      <selection pane="bottomLeft" activeCell="A9" sqref="A9"/>
      <selection pane="bottomRight" activeCell="H37" sqref="H37:H40"/>
    </sheetView>
  </sheetViews>
  <sheetFormatPr defaultColWidth="12.625" defaultRowHeight="13.5" x14ac:dyDescent="0.15"/>
  <cols>
    <col min="1" max="1" width="12.75" customWidth="1"/>
    <col min="2" max="2" width="23.875" bestFit="1" customWidth="1"/>
    <col min="3" max="3" width="22.75" customWidth="1"/>
    <col min="4" max="4" width="20.25" customWidth="1"/>
    <col min="5" max="5" width="21.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COUNTIF($A$10:$A$840, "TC*")</f>
        <v>31</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67</v>
      </c>
      <c r="D3" s="50"/>
      <c r="E3" s="50"/>
      <c r="F3" s="50"/>
      <c r="G3" s="134" t="s">
        <v>25</v>
      </c>
      <c r="H3" s="64">
        <f>(COUNTIF(H10:H28,"Pass"))</f>
        <v>3</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(COUNTIF(H10:H28,"Fail"))</f>
        <v>0</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(COUNTIF(H10:H45,"Untest"))</f>
        <v>23</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9.68%</v>
      </c>
      <c r="D6" s="50"/>
      <c r="E6" s="50"/>
      <c r="F6" s="50"/>
      <c r="G6" s="84" t="s">
        <v>30</v>
      </c>
      <c r="H6" s="85">
        <f>(COUNTIF(H10:H28,"N/A"))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20" t="s">
        <v>31</v>
      </c>
      <c r="B8" s="120" t="s">
        <v>32</v>
      </c>
      <c r="C8" s="121" t="s">
        <v>21</v>
      </c>
      <c r="D8" s="120" t="s">
        <v>14</v>
      </c>
      <c r="E8" s="121" t="s">
        <v>33</v>
      </c>
      <c r="F8" s="120" t="s">
        <v>34</v>
      </c>
      <c r="G8" s="122" t="s">
        <v>35</v>
      </c>
      <c r="H8" s="123" t="s">
        <v>64</v>
      </c>
      <c r="I8" s="121" t="s">
        <v>36</v>
      </c>
      <c r="J8" s="58"/>
      <c r="K8" s="58"/>
      <c r="L8" s="58"/>
      <c r="M8" s="58"/>
      <c r="N8" s="58"/>
      <c r="O8" s="58"/>
      <c r="P8" s="58"/>
      <c r="Q8" s="58"/>
      <c r="R8" s="58"/>
      <c r="S8" s="58"/>
      <c r="T8" s="58"/>
      <c r="U8" s="58"/>
      <c r="V8" s="58"/>
      <c r="W8" s="58"/>
      <c r="X8" s="58"/>
      <c r="Y8" s="58"/>
      <c r="Z8" s="58"/>
      <c r="AA8" s="49"/>
      <c r="AB8" s="49"/>
    </row>
    <row r="9" spans="1:28" ht="15" customHeight="1" x14ac:dyDescent="0.2">
      <c r="A9" s="174" t="s">
        <v>85</v>
      </c>
      <c r="B9" s="175"/>
      <c r="C9" s="175"/>
      <c r="D9" s="175"/>
      <c r="E9" s="175"/>
      <c r="F9" s="175"/>
      <c r="G9" s="175"/>
      <c r="H9" s="176"/>
      <c r="I9" s="116"/>
      <c r="J9" s="86"/>
      <c r="K9" s="86"/>
      <c r="L9" s="86"/>
      <c r="M9" s="86"/>
      <c r="N9" s="86"/>
      <c r="O9" s="86"/>
      <c r="P9" s="86"/>
      <c r="Q9" s="86"/>
      <c r="R9" s="86"/>
      <c r="S9" s="86"/>
      <c r="T9" s="86"/>
      <c r="U9" s="86"/>
      <c r="V9" s="86"/>
      <c r="W9" s="86"/>
      <c r="X9" s="86"/>
      <c r="Y9" s="86"/>
      <c r="Z9" s="86"/>
      <c r="AA9" s="49"/>
      <c r="AB9" s="49"/>
    </row>
    <row r="10" spans="1:28" ht="85.5" x14ac:dyDescent="0.2">
      <c r="A10" s="92" t="s">
        <v>113</v>
      </c>
      <c r="B10" s="92" t="s">
        <v>879</v>
      </c>
      <c r="C10" s="92" t="s">
        <v>1306</v>
      </c>
      <c r="D10" s="92" t="s">
        <v>601</v>
      </c>
      <c r="E10" s="92" t="s">
        <v>1305</v>
      </c>
      <c r="F10" s="92" t="s">
        <v>602</v>
      </c>
      <c r="G10" s="92"/>
      <c r="H10" s="92" t="s">
        <v>25</v>
      </c>
      <c r="I10" s="92"/>
      <c r="J10" s="8"/>
      <c r="K10" s="8"/>
      <c r="L10" s="8"/>
      <c r="M10" s="8"/>
      <c r="N10" s="8"/>
      <c r="O10" s="8"/>
      <c r="P10" s="8"/>
      <c r="Q10" s="8"/>
      <c r="R10" s="8"/>
      <c r="S10" s="8"/>
      <c r="T10" s="8"/>
      <c r="U10" s="8"/>
      <c r="V10" s="8"/>
      <c r="W10" s="8"/>
      <c r="X10" s="8"/>
      <c r="Y10" s="8"/>
      <c r="Z10" s="8"/>
      <c r="AA10" s="49"/>
      <c r="AB10" s="49"/>
    </row>
    <row r="11" spans="1:28" ht="99.75" x14ac:dyDescent="0.2">
      <c r="A11" s="92" t="s">
        <v>114</v>
      </c>
      <c r="B11" s="92" t="s">
        <v>880</v>
      </c>
      <c r="C11" s="92" t="s">
        <v>1308</v>
      </c>
      <c r="D11" s="92" t="s">
        <v>603</v>
      </c>
      <c r="E11" s="92" t="s">
        <v>1307</v>
      </c>
      <c r="F11" s="92" t="s">
        <v>604</v>
      </c>
      <c r="G11" s="92"/>
      <c r="H11" s="92" t="s">
        <v>25</v>
      </c>
      <c r="I11" s="92"/>
      <c r="J11" s="8"/>
      <c r="K11" s="8"/>
      <c r="L11" s="8"/>
      <c r="M11" s="8"/>
      <c r="N11" s="8"/>
      <c r="O11" s="8"/>
      <c r="P11" s="8"/>
      <c r="Q11" s="8"/>
      <c r="R11" s="8"/>
      <c r="S11" s="8"/>
      <c r="T11" s="8"/>
      <c r="U11" s="8"/>
      <c r="V11" s="8"/>
      <c r="W11" s="8"/>
      <c r="X11" s="8"/>
      <c r="Y11" s="49"/>
      <c r="Z11" s="49"/>
      <c r="AA11" s="49"/>
      <c r="AB11" s="49"/>
    </row>
    <row r="12" spans="1:28" ht="71.25" x14ac:dyDescent="0.2">
      <c r="A12" s="92" t="s">
        <v>115</v>
      </c>
      <c r="B12" s="92" t="s">
        <v>574</v>
      </c>
      <c r="C12" s="92" t="s">
        <v>888</v>
      </c>
      <c r="D12" s="92" t="s">
        <v>885</v>
      </c>
      <c r="E12" s="92" t="s">
        <v>881</v>
      </c>
      <c r="F12" s="92" t="s">
        <v>886</v>
      </c>
      <c r="G12" s="92"/>
      <c r="H12" s="92" t="s">
        <v>25</v>
      </c>
      <c r="I12" s="92"/>
      <c r="J12" s="8"/>
      <c r="K12" s="8"/>
      <c r="L12" s="8"/>
      <c r="M12" s="8"/>
      <c r="N12" s="8"/>
      <c r="O12" s="8"/>
      <c r="P12" s="8"/>
      <c r="Q12" s="8"/>
      <c r="R12" s="8"/>
      <c r="S12" s="8"/>
      <c r="T12" s="8"/>
      <c r="U12" s="8"/>
      <c r="V12" s="8"/>
      <c r="W12" s="8"/>
      <c r="X12" s="8"/>
      <c r="Y12" s="49"/>
      <c r="Z12" s="49"/>
      <c r="AA12" s="49"/>
      <c r="AB12" s="49"/>
    </row>
    <row r="13" spans="1:28" ht="71.25" x14ac:dyDescent="0.2">
      <c r="A13" s="92" t="s">
        <v>116</v>
      </c>
      <c r="B13" s="92" t="s">
        <v>575</v>
      </c>
      <c r="C13" s="92" t="s">
        <v>889</v>
      </c>
      <c r="D13" s="92" t="s">
        <v>912</v>
      </c>
      <c r="E13" s="92" t="s">
        <v>913</v>
      </c>
      <c r="F13" s="92" t="s">
        <v>914</v>
      </c>
      <c r="G13" s="92"/>
      <c r="H13" s="92" t="s">
        <v>28</v>
      </c>
      <c r="I13" s="92"/>
      <c r="J13" s="8"/>
      <c r="K13" s="8"/>
      <c r="L13" s="8"/>
      <c r="M13" s="8"/>
      <c r="N13" s="8"/>
      <c r="O13" s="8"/>
      <c r="P13" s="8"/>
      <c r="Q13" s="8"/>
      <c r="R13" s="8"/>
      <c r="S13" s="8"/>
      <c r="T13" s="8"/>
      <c r="U13" s="8"/>
      <c r="V13" s="8"/>
      <c r="W13" s="8"/>
      <c r="X13" s="8"/>
      <c r="Y13" s="49"/>
      <c r="Z13" s="49"/>
      <c r="AA13" s="49"/>
      <c r="AB13" s="49"/>
    </row>
    <row r="14" spans="1:28" ht="85.5" x14ac:dyDescent="0.2">
      <c r="A14" s="92" t="s">
        <v>254</v>
      </c>
      <c r="B14" s="92" t="s">
        <v>576</v>
      </c>
      <c r="C14" s="92" t="s">
        <v>887</v>
      </c>
      <c r="D14" s="92" t="s">
        <v>915</v>
      </c>
      <c r="E14" s="92" t="s">
        <v>916</v>
      </c>
      <c r="F14" s="92" t="s">
        <v>917</v>
      </c>
      <c r="G14" s="92"/>
      <c r="H14" s="92" t="s">
        <v>28</v>
      </c>
      <c r="I14" s="92"/>
      <c r="J14" s="8"/>
      <c r="K14" s="8"/>
      <c r="L14" s="8"/>
      <c r="M14" s="8"/>
      <c r="N14" s="8"/>
      <c r="O14" s="8"/>
      <c r="P14" s="8"/>
      <c r="Q14" s="8"/>
      <c r="R14" s="8"/>
      <c r="S14" s="8"/>
      <c r="T14" s="8"/>
      <c r="U14" s="8"/>
      <c r="V14" s="8"/>
      <c r="W14" s="8"/>
      <c r="X14" s="8"/>
      <c r="Y14" s="49"/>
      <c r="Z14" s="49"/>
      <c r="AA14" s="49"/>
      <c r="AB14" s="49"/>
    </row>
    <row r="15" spans="1:28" ht="71.25" x14ac:dyDescent="0.2">
      <c r="A15" s="92" t="s">
        <v>109</v>
      </c>
      <c r="B15" s="92" t="s">
        <v>577</v>
      </c>
      <c r="C15" s="92" t="s">
        <v>887</v>
      </c>
      <c r="D15" s="92" t="s">
        <v>882</v>
      </c>
      <c r="E15" s="92" t="s">
        <v>883</v>
      </c>
      <c r="F15" s="92" t="s">
        <v>884</v>
      </c>
      <c r="G15" s="92"/>
      <c r="H15" s="92" t="s">
        <v>28</v>
      </c>
      <c r="I15" s="92"/>
      <c r="J15" s="8"/>
      <c r="K15" s="8"/>
      <c r="L15" s="8"/>
      <c r="M15" s="8"/>
      <c r="N15" s="8"/>
      <c r="O15" s="8"/>
      <c r="P15" s="8"/>
      <c r="Q15" s="8"/>
      <c r="R15" s="8"/>
      <c r="S15" s="8"/>
      <c r="T15" s="8"/>
      <c r="U15" s="8"/>
      <c r="V15" s="8"/>
      <c r="W15" s="8"/>
      <c r="X15" s="8"/>
      <c r="Y15" s="49"/>
      <c r="Z15" s="49"/>
      <c r="AA15" s="49"/>
      <c r="AB15" s="49"/>
    </row>
    <row r="16" spans="1:28" ht="114" x14ac:dyDescent="0.2">
      <c r="A16" s="92" t="s">
        <v>110</v>
      </c>
      <c r="B16" s="92" t="s">
        <v>907</v>
      </c>
      <c r="C16" s="92" t="s">
        <v>887</v>
      </c>
      <c r="D16" s="92" t="s">
        <v>918</v>
      </c>
      <c r="E16" s="92" t="s">
        <v>919</v>
      </c>
      <c r="F16" s="92" t="s">
        <v>605</v>
      </c>
      <c r="G16" s="92"/>
      <c r="H16" s="92" t="s">
        <v>28</v>
      </c>
      <c r="I16" s="92"/>
      <c r="J16" s="8"/>
      <c r="K16" s="8"/>
      <c r="L16" s="8"/>
      <c r="M16" s="8"/>
      <c r="N16" s="8"/>
      <c r="O16" s="8"/>
      <c r="P16" s="8"/>
      <c r="Q16" s="8"/>
      <c r="R16" s="8"/>
      <c r="S16" s="8"/>
      <c r="T16" s="8"/>
      <c r="U16" s="8"/>
      <c r="V16" s="8"/>
      <c r="W16" s="8"/>
      <c r="X16" s="8"/>
      <c r="Y16" s="49"/>
      <c r="Z16" s="49"/>
      <c r="AA16" s="49"/>
      <c r="AB16" s="49"/>
    </row>
    <row r="17" spans="1:28" ht="71.25" x14ac:dyDescent="0.2">
      <c r="A17" s="92" t="s">
        <v>111</v>
      </c>
      <c r="B17" s="92" t="s">
        <v>927</v>
      </c>
      <c r="C17" s="92" t="s">
        <v>887</v>
      </c>
      <c r="D17" s="92" t="s">
        <v>890</v>
      </c>
      <c r="E17" s="92" t="s">
        <v>606</v>
      </c>
      <c r="F17" s="92" t="s">
        <v>569</v>
      </c>
      <c r="G17" s="92"/>
      <c r="H17" s="92" t="s">
        <v>28</v>
      </c>
      <c r="I17" s="92"/>
      <c r="J17" s="8"/>
      <c r="K17" s="8"/>
      <c r="L17" s="8"/>
      <c r="M17" s="8"/>
      <c r="N17" s="8"/>
      <c r="O17" s="8"/>
      <c r="P17" s="8"/>
      <c r="Q17" s="8"/>
      <c r="R17" s="8"/>
      <c r="S17" s="8"/>
      <c r="T17" s="8"/>
      <c r="U17" s="8"/>
      <c r="V17" s="8"/>
      <c r="W17" s="8"/>
      <c r="X17" s="8"/>
      <c r="Y17" s="49"/>
      <c r="Z17" s="49"/>
      <c r="AA17" s="49"/>
      <c r="AB17" s="49"/>
    </row>
    <row r="18" spans="1:28" ht="57" x14ac:dyDescent="0.2">
      <c r="A18" s="92" t="s">
        <v>112</v>
      </c>
      <c r="B18" s="92" t="s">
        <v>578</v>
      </c>
      <c r="C18" s="92" t="s">
        <v>887</v>
      </c>
      <c r="D18" s="92" t="s">
        <v>908</v>
      </c>
      <c r="E18" s="92" t="s">
        <v>909</v>
      </c>
      <c r="F18" s="92" t="s">
        <v>569</v>
      </c>
      <c r="G18" s="92"/>
      <c r="H18" s="92" t="s">
        <v>28</v>
      </c>
      <c r="I18" s="92"/>
      <c r="J18" s="8"/>
      <c r="K18" s="8"/>
      <c r="L18" s="8"/>
      <c r="M18" s="8"/>
      <c r="N18" s="8"/>
      <c r="O18" s="8"/>
      <c r="P18" s="8"/>
      <c r="Q18" s="8"/>
      <c r="R18" s="8"/>
      <c r="S18" s="8"/>
      <c r="T18" s="8"/>
      <c r="U18" s="8"/>
      <c r="V18" s="8"/>
      <c r="W18" s="8"/>
      <c r="X18" s="8"/>
      <c r="Y18" s="49"/>
      <c r="Z18" s="49"/>
      <c r="AA18" s="49"/>
      <c r="AB18" s="49"/>
    </row>
    <row r="19" spans="1:28" ht="42.75" x14ac:dyDescent="0.2">
      <c r="A19" s="92" t="s">
        <v>117</v>
      </c>
      <c r="B19" s="92" t="s">
        <v>741</v>
      </c>
      <c r="C19" s="92" t="s">
        <v>887</v>
      </c>
      <c r="D19" s="92" t="s">
        <v>607</v>
      </c>
      <c r="E19" s="92" t="s">
        <v>726</v>
      </c>
      <c r="F19" s="92" t="s">
        <v>925</v>
      </c>
      <c r="G19" s="92"/>
      <c r="H19" s="92" t="s">
        <v>28</v>
      </c>
      <c r="I19" s="92"/>
      <c r="J19" s="8"/>
      <c r="K19" s="8"/>
      <c r="L19" s="8"/>
      <c r="M19" s="8"/>
      <c r="N19" s="8"/>
      <c r="O19" s="8"/>
      <c r="P19" s="8"/>
      <c r="Q19" s="8"/>
      <c r="R19" s="8"/>
      <c r="S19" s="8"/>
      <c r="T19" s="8"/>
      <c r="U19" s="8"/>
      <c r="V19" s="8"/>
      <c r="W19" s="8"/>
      <c r="X19" s="8"/>
      <c r="Y19" s="49"/>
      <c r="Z19" s="49"/>
      <c r="AA19" s="49"/>
      <c r="AB19" s="49"/>
    </row>
    <row r="20" spans="1:28" ht="42.75" x14ac:dyDescent="0.2">
      <c r="A20" s="92" t="s">
        <v>255</v>
      </c>
      <c r="B20" s="92" t="s">
        <v>734</v>
      </c>
      <c r="C20" s="92" t="s">
        <v>887</v>
      </c>
      <c r="D20" s="92" t="s">
        <v>608</v>
      </c>
      <c r="E20" s="92" t="s">
        <v>609</v>
      </c>
      <c r="F20" s="92" t="s">
        <v>925</v>
      </c>
      <c r="G20" s="92"/>
      <c r="H20" s="92" t="s">
        <v>28</v>
      </c>
      <c r="I20" s="92"/>
      <c r="J20" s="8"/>
      <c r="K20" s="8"/>
      <c r="L20" s="8"/>
      <c r="M20" s="8"/>
      <c r="N20" s="8"/>
      <c r="O20" s="8"/>
      <c r="P20" s="8"/>
      <c r="Q20" s="8"/>
      <c r="R20" s="8"/>
      <c r="S20" s="8"/>
      <c r="T20" s="8"/>
      <c r="U20" s="8"/>
      <c r="V20" s="8"/>
      <c r="W20" s="8"/>
      <c r="X20" s="8"/>
      <c r="Y20" s="49"/>
      <c r="Z20" s="49"/>
      <c r="AA20" s="49"/>
      <c r="AB20" s="49"/>
    </row>
    <row r="21" spans="1:28" ht="42.75" x14ac:dyDescent="0.2">
      <c r="A21" s="92" t="s">
        <v>256</v>
      </c>
      <c r="B21" s="92" t="s">
        <v>891</v>
      </c>
      <c r="C21" s="92" t="s">
        <v>887</v>
      </c>
      <c r="D21" s="92" t="s">
        <v>610</v>
      </c>
      <c r="E21" s="92" t="s">
        <v>611</v>
      </c>
      <c r="F21" s="92" t="s">
        <v>924</v>
      </c>
      <c r="G21" s="92"/>
      <c r="H21" s="92" t="s">
        <v>28</v>
      </c>
      <c r="I21" s="92"/>
      <c r="J21" s="8"/>
      <c r="K21" s="8"/>
      <c r="L21" s="8"/>
      <c r="M21" s="8"/>
      <c r="N21" s="8"/>
      <c r="O21" s="8"/>
      <c r="P21" s="8"/>
      <c r="Q21" s="8"/>
      <c r="R21" s="8"/>
      <c r="S21" s="8"/>
      <c r="T21" s="8"/>
      <c r="U21" s="8"/>
      <c r="V21" s="8"/>
      <c r="W21" s="8"/>
      <c r="X21" s="8"/>
      <c r="Y21" s="49"/>
      <c r="Z21" s="49"/>
      <c r="AA21" s="49"/>
      <c r="AB21" s="49"/>
    </row>
    <row r="22" spans="1:28" ht="42.75" x14ac:dyDescent="0.2">
      <c r="A22" s="92" t="s">
        <v>257</v>
      </c>
      <c r="B22" s="92" t="s">
        <v>892</v>
      </c>
      <c r="C22" s="92" t="s">
        <v>887</v>
      </c>
      <c r="D22" s="92" t="s">
        <v>612</v>
      </c>
      <c r="E22" s="92" t="s">
        <v>613</v>
      </c>
      <c r="F22" s="92" t="s">
        <v>940</v>
      </c>
      <c r="G22" s="92"/>
      <c r="H22" s="92" t="s">
        <v>28</v>
      </c>
      <c r="I22" s="92"/>
      <c r="J22" s="8"/>
      <c r="K22" s="8"/>
      <c r="L22" s="8"/>
      <c r="M22" s="8"/>
      <c r="N22" s="8"/>
      <c r="O22" s="8"/>
      <c r="P22" s="8"/>
      <c r="Q22" s="8"/>
      <c r="R22" s="8"/>
      <c r="S22" s="8"/>
      <c r="T22" s="8"/>
      <c r="U22" s="8"/>
      <c r="V22" s="8"/>
      <c r="W22" s="8"/>
      <c r="X22" s="8"/>
      <c r="Y22" s="49"/>
      <c r="Z22" s="49"/>
      <c r="AA22" s="49"/>
      <c r="AB22" s="49"/>
    </row>
    <row r="23" spans="1:28" ht="71.25" x14ac:dyDescent="0.2">
      <c r="A23" s="92" t="s">
        <v>258</v>
      </c>
      <c r="B23" s="92" t="s">
        <v>579</v>
      </c>
      <c r="C23" s="92" t="s">
        <v>920</v>
      </c>
      <c r="D23" s="92" t="s">
        <v>614</v>
      </c>
      <c r="E23" s="92"/>
      <c r="F23" s="92" t="s">
        <v>921</v>
      </c>
      <c r="G23" s="92"/>
      <c r="H23" s="92" t="s">
        <v>28</v>
      </c>
      <c r="I23" s="92"/>
      <c r="J23" s="8"/>
      <c r="K23" s="8"/>
      <c r="L23" s="8"/>
      <c r="M23" s="8"/>
      <c r="N23" s="8"/>
      <c r="O23" s="8"/>
      <c r="P23" s="8"/>
      <c r="Q23" s="8"/>
      <c r="R23" s="8"/>
      <c r="S23" s="8"/>
      <c r="T23" s="8"/>
      <c r="U23" s="8"/>
      <c r="V23" s="8"/>
      <c r="W23" s="8"/>
      <c r="X23" s="8"/>
      <c r="Y23" s="49"/>
      <c r="Z23" s="49"/>
      <c r="AA23" s="49"/>
      <c r="AB23" s="49"/>
    </row>
    <row r="24" spans="1:28" ht="71.25" x14ac:dyDescent="0.2">
      <c r="A24" s="92" t="s">
        <v>227</v>
      </c>
      <c r="B24" s="92" t="s">
        <v>580</v>
      </c>
      <c r="C24" s="92" t="s">
        <v>911</v>
      </c>
      <c r="D24" s="92" t="s">
        <v>943</v>
      </c>
      <c r="E24" s="92"/>
      <c r="F24" s="92" t="s">
        <v>928</v>
      </c>
      <c r="G24" s="92"/>
      <c r="H24" s="92" t="s">
        <v>28</v>
      </c>
      <c r="I24" s="92"/>
      <c r="J24" s="8"/>
      <c r="K24" s="8"/>
      <c r="L24" s="8"/>
      <c r="M24" s="8"/>
      <c r="N24" s="8"/>
      <c r="O24" s="8"/>
      <c r="P24" s="8"/>
      <c r="Q24" s="8"/>
      <c r="R24" s="8"/>
      <c r="S24" s="8"/>
      <c r="T24" s="8"/>
      <c r="U24" s="8"/>
      <c r="V24" s="8"/>
      <c r="W24" s="8"/>
      <c r="X24" s="8"/>
      <c r="Y24" s="49"/>
      <c r="Z24" s="49"/>
      <c r="AA24" s="49"/>
      <c r="AB24" s="49"/>
    </row>
    <row r="25" spans="1:28" ht="71.25" x14ac:dyDescent="0.2">
      <c r="A25" s="92" t="s">
        <v>228</v>
      </c>
      <c r="B25" s="92" t="s">
        <v>869</v>
      </c>
      <c r="C25" s="92" t="s">
        <v>922</v>
      </c>
      <c r="D25" s="92" t="s">
        <v>923</v>
      </c>
      <c r="E25" s="92"/>
      <c r="F25" s="92" t="s">
        <v>926</v>
      </c>
      <c r="G25" s="92"/>
      <c r="H25" s="92" t="s">
        <v>28</v>
      </c>
      <c r="I25" s="92"/>
      <c r="J25" s="8"/>
      <c r="K25" s="8"/>
      <c r="L25" s="8"/>
      <c r="M25" s="8"/>
      <c r="N25" s="8"/>
      <c r="O25" s="8"/>
      <c r="P25" s="8"/>
      <c r="Q25" s="8"/>
      <c r="R25" s="8"/>
      <c r="S25" s="8"/>
      <c r="T25" s="8"/>
      <c r="U25" s="8"/>
      <c r="V25" s="8"/>
      <c r="W25" s="8"/>
      <c r="X25" s="8"/>
      <c r="Y25" s="49"/>
      <c r="Z25" s="49"/>
      <c r="AA25" s="49"/>
      <c r="AB25" s="49"/>
    </row>
    <row r="26" spans="1:28" ht="85.5" x14ac:dyDescent="0.2">
      <c r="A26" s="92" t="s">
        <v>229</v>
      </c>
      <c r="B26" s="92" t="s">
        <v>581</v>
      </c>
      <c r="C26" s="92" t="s">
        <v>942</v>
      </c>
      <c r="D26" s="92" t="s">
        <v>941</v>
      </c>
      <c r="E26" s="92"/>
      <c r="F26" s="92" t="s">
        <v>929</v>
      </c>
      <c r="G26" s="92"/>
      <c r="H26" s="92" t="s">
        <v>28</v>
      </c>
      <c r="I26" s="92"/>
      <c r="J26" s="8"/>
      <c r="K26" s="8"/>
      <c r="L26" s="8"/>
      <c r="M26" s="8"/>
      <c r="N26" s="8"/>
      <c r="O26" s="8"/>
      <c r="P26" s="8"/>
      <c r="Q26" s="8"/>
      <c r="R26" s="8"/>
      <c r="S26" s="8"/>
      <c r="T26" s="8"/>
      <c r="U26" s="8"/>
      <c r="V26" s="8"/>
      <c r="W26" s="8"/>
      <c r="X26" s="8"/>
      <c r="Y26" s="49"/>
      <c r="Z26" s="49"/>
      <c r="AA26" s="49"/>
      <c r="AB26" s="49"/>
    </row>
    <row r="27" spans="1:28" ht="71.25" x14ac:dyDescent="0.2">
      <c r="A27" s="92" t="s">
        <v>230</v>
      </c>
      <c r="B27" s="92" t="s">
        <v>582</v>
      </c>
      <c r="C27" s="92" t="s">
        <v>933</v>
      </c>
      <c r="D27" s="92" t="s">
        <v>944</v>
      </c>
      <c r="E27" s="92"/>
      <c r="F27" s="92" t="s">
        <v>930</v>
      </c>
      <c r="G27" s="92"/>
      <c r="H27" s="92" t="s">
        <v>28</v>
      </c>
      <c r="I27" s="92"/>
      <c r="J27" s="8"/>
      <c r="K27" s="8"/>
      <c r="L27" s="8"/>
      <c r="M27" s="8"/>
      <c r="N27" s="8"/>
      <c r="O27" s="8"/>
      <c r="P27" s="8"/>
      <c r="Q27" s="8"/>
      <c r="R27" s="8"/>
      <c r="S27" s="8"/>
      <c r="T27" s="8"/>
      <c r="U27" s="8"/>
      <c r="V27" s="8"/>
      <c r="W27" s="8"/>
      <c r="X27" s="8"/>
      <c r="Y27" s="49"/>
      <c r="Z27" s="49"/>
      <c r="AA27" s="49"/>
      <c r="AB27" s="49"/>
    </row>
    <row r="28" spans="1:28" ht="85.5" x14ac:dyDescent="0.2">
      <c r="A28" s="92" t="s">
        <v>231</v>
      </c>
      <c r="B28" s="92" t="s">
        <v>583</v>
      </c>
      <c r="C28" s="92" t="s">
        <v>932</v>
      </c>
      <c r="D28" s="92" t="s">
        <v>615</v>
      </c>
      <c r="E28" s="92"/>
      <c r="F28" s="92" t="s">
        <v>616</v>
      </c>
      <c r="G28" s="92"/>
      <c r="H28" s="92" t="s">
        <v>28</v>
      </c>
      <c r="I28" s="92"/>
      <c r="J28" s="8"/>
      <c r="K28" s="8"/>
      <c r="L28" s="8"/>
      <c r="M28" s="8"/>
      <c r="N28" s="8"/>
      <c r="O28" s="8"/>
      <c r="P28" s="8"/>
      <c r="Q28" s="8"/>
      <c r="R28" s="8"/>
      <c r="S28" s="8"/>
      <c r="T28" s="8"/>
      <c r="U28" s="8"/>
      <c r="V28" s="8"/>
      <c r="W28" s="8"/>
      <c r="X28" s="8"/>
      <c r="Y28" s="49"/>
      <c r="Z28" s="49"/>
      <c r="AA28" s="49"/>
      <c r="AB28" s="49"/>
    </row>
    <row r="29" spans="1:28" ht="57" x14ac:dyDescent="0.2">
      <c r="A29" s="92" t="s">
        <v>259</v>
      </c>
      <c r="B29" s="92" t="s">
        <v>938</v>
      </c>
      <c r="C29" s="92" t="s">
        <v>934</v>
      </c>
      <c r="D29" s="92" t="s">
        <v>599</v>
      </c>
      <c r="E29" s="92"/>
      <c r="F29" s="92" t="s">
        <v>937</v>
      </c>
      <c r="G29" s="92"/>
      <c r="H29" s="92" t="s">
        <v>28</v>
      </c>
      <c r="I29" s="92"/>
      <c r="J29" s="8"/>
      <c r="K29" s="8"/>
      <c r="L29" s="8"/>
      <c r="M29" s="8"/>
      <c r="N29" s="8"/>
      <c r="O29" s="8"/>
      <c r="P29" s="8"/>
      <c r="Q29" s="8"/>
      <c r="R29" s="8"/>
      <c r="S29" s="8"/>
      <c r="T29" s="8"/>
      <c r="U29" s="8"/>
      <c r="V29" s="8"/>
      <c r="W29" s="8"/>
      <c r="X29" s="8"/>
      <c r="Y29" s="49"/>
      <c r="Z29" s="49"/>
      <c r="AA29" s="49"/>
      <c r="AB29" s="49"/>
    </row>
    <row r="30" spans="1:28" ht="57" x14ac:dyDescent="0.2">
      <c r="A30" s="92" t="s">
        <v>260</v>
      </c>
      <c r="B30" s="92" t="s">
        <v>584</v>
      </c>
      <c r="C30" s="92" t="s">
        <v>935</v>
      </c>
      <c r="D30" s="92" t="s">
        <v>599</v>
      </c>
      <c r="E30" s="92"/>
      <c r="F30" s="92" t="s">
        <v>617</v>
      </c>
      <c r="G30" s="92"/>
      <c r="H30" s="92" t="s">
        <v>28</v>
      </c>
      <c r="I30" s="92"/>
      <c r="J30" s="8"/>
      <c r="K30" s="8"/>
      <c r="L30" s="8"/>
      <c r="M30" s="8"/>
      <c r="N30" s="8"/>
      <c r="O30" s="8"/>
      <c r="P30" s="8"/>
      <c r="Q30" s="8"/>
      <c r="R30" s="8"/>
      <c r="S30" s="8"/>
      <c r="T30" s="8"/>
      <c r="U30" s="8"/>
      <c r="V30" s="8"/>
      <c r="W30" s="8"/>
      <c r="X30" s="8"/>
      <c r="Y30" s="49"/>
      <c r="Z30" s="49"/>
      <c r="AA30" s="49"/>
      <c r="AB30" s="49"/>
    </row>
    <row r="31" spans="1:28" ht="85.5" x14ac:dyDescent="0.2">
      <c r="A31" s="92" t="s">
        <v>261</v>
      </c>
      <c r="B31" s="92" t="s">
        <v>585</v>
      </c>
      <c r="C31" s="92" t="s">
        <v>936</v>
      </c>
      <c r="D31" s="92" t="s">
        <v>618</v>
      </c>
      <c r="E31" s="92"/>
      <c r="F31" s="92" t="s">
        <v>898</v>
      </c>
      <c r="G31" s="92"/>
      <c r="H31" s="92" t="s">
        <v>28</v>
      </c>
      <c r="I31" s="92"/>
      <c r="J31" s="8"/>
      <c r="K31" s="8"/>
      <c r="L31" s="8"/>
      <c r="M31" s="8"/>
      <c r="N31" s="8"/>
      <c r="O31" s="8"/>
      <c r="P31" s="8"/>
      <c r="Q31" s="8"/>
      <c r="R31" s="8"/>
      <c r="S31" s="8"/>
      <c r="T31" s="8"/>
      <c r="U31" s="8"/>
      <c r="V31" s="8"/>
      <c r="W31" s="8"/>
      <c r="X31" s="8"/>
      <c r="Y31" s="49"/>
      <c r="Z31" s="49"/>
      <c r="AA31" s="49"/>
      <c r="AB31" s="49"/>
    </row>
    <row r="32" spans="1:28" ht="128.25" x14ac:dyDescent="0.2">
      <c r="A32" s="92" t="s">
        <v>262</v>
      </c>
      <c r="B32" s="92" t="s">
        <v>893</v>
      </c>
      <c r="C32" s="92" t="s">
        <v>904</v>
      </c>
      <c r="D32" s="92" t="s">
        <v>619</v>
      </c>
      <c r="E32" s="92"/>
      <c r="F32" s="92" t="s">
        <v>931</v>
      </c>
      <c r="G32" s="92"/>
      <c r="H32" s="92" t="s">
        <v>28</v>
      </c>
      <c r="I32" s="92"/>
      <c r="J32" s="8"/>
      <c r="K32" s="8"/>
      <c r="L32" s="8"/>
      <c r="M32" s="8"/>
      <c r="N32" s="8"/>
      <c r="O32" s="8"/>
      <c r="P32" s="8"/>
      <c r="Q32" s="8"/>
      <c r="R32" s="8"/>
      <c r="S32" s="8"/>
      <c r="T32" s="8"/>
      <c r="U32" s="8"/>
      <c r="V32" s="8"/>
      <c r="W32" s="8"/>
      <c r="X32" s="8"/>
      <c r="Y32" s="49"/>
      <c r="Z32" s="49"/>
      <c r="AA32" s="49"/>
      <c r="AB32" s="49"/>
    </row>
    <row r="33" spans="1:28" ht="42.75" x14ac:dyDescent="0.2">
      <c r="A33" s="92" t="s">
        <v>263</v>
      </c>
      <c r="B33" s="92" t="s">
        <v>894</v>
      </c>
      <c r="C33" s="92" t="s">
        <v>905</v>
      </c>
      <c r="D33" s="92" t="s">
        <v>620</v>
      </c>
      <c r="E33" s="92"/>
      <c r="F33" s="92" t="s">
        <v>899</v>
      </c>
      <c r="G33" s="92"/>
      <c r="H33" s="92" t="s">
        <v>28</v>
      </c>
      <c r="I33" s="92"/>
      <c r="J33" s="8"/>
      <c r="K33" s="8"/>
      <c r="L33" s="8"/>
      <c r="M33" s="8"/>
      <c r="N33" s="8"/>
      <c r="O33" s="8"/>
      <c r="P33" s="8"/>
      <c r="Q33" s="8"/>
      <c r="R33" s="8"/>
      <c r="S33" s="8"/>
      <c r="T33" s="8"/>
      <c r="U33" s="8"/>
      <c r="V33" s="8"/>
      <c r="W33" s="8"/>
      <c r="X33" s="8"/>
      <c r="Y33" s="49"/>
      <c r="Z33" s="49"/>
      <c r="AA33" s="49"/>
      <c r="AB33" s="49"/>
    </row>
    <row r="34" spans="1:28" ht="85.5" x14ac:dyDescent="0.2">
      <c r="A34" s="92" t="s">
        <v>264</v>
      </c>
      <c r="B34" s="92" t="s">
        <v>587</v>
      </c>
      <c r="C34" s="92" t="s">
        <v>906</v>
      </c>
      <c r="D34" s="92" t="s">
        <v>594</v>
      </c>
      <c r="E34" s="92"/>
      <c r="F34" s="92" t="s">
        <v>897</v>
      </c>
      <c r="G34" s="92"/>
      <c r="H34" s="92" t="s">
        <v>28</v>
      </c>
      <c r="I34" s="92"/>
      <c r="J34" s="8"/>
      <c r="K34" s="8"/>
      <c r="L34" s="8"/>
      <c r="M34" s="8"/>
      <c r="N34" s="8"/>
      <c r="O34" s="8"/>
      <c r="P34" s="8"/>
      <c r="Q34" s="8"/>
      <c r="R34" s="8"/>
      <c r="S34" s="8"/>
      <c r="T34" s="8"/>
      <c r="U34" s="8"/>
      <c r="V34" s="8"/>
      <c r="W34" s="8"/>
      <c r="X34" s="8"/>
      <c r="Y34" s="49"/>
      <c r="Z34" s="49"/>
      <c r="AA34" s="49"/>
      <c r="AB34" s="49"/>
    </row>
    <row r="35" spans="1:28" ht="71.25" x14ac:dyDescent="0.2">
      <c r="A35" s="92" t="s">
        <v>265</v>
      </c>
      <c r="B35" s="92" t="s">
        <v>878</v>
      </c>
      <c r="C35" s="92" t="s">
        <v>447</v>
      </c>
      <c r="D35" s="92" t="s">
        <v>595</v>
      </c>
      <c r="E35" s="92" t="s">
        <v>727</v>
      </c>
      <c r="F35" s="92" t="s">
        <v>896</v>
      </c>
      <c r="G35" s="92"/>
      <c r="H35" s="92" t="s">
        <v>25</v>
      </c>
      <c r="I35" s="92"/>
      <c r="J35" s="8"/>
      <c r="K35" s="8"/>
      <c r="L35" s="8"/>
      <c r="M35" s="8"/>
      <c r="N35" s="8"/>
      <c r="O35" s="8"/>
      <c r="P35" s="8"/>
      <c r="Q35" s="8"/>
      <c r="R35" s="8"/>
      <c r="S35" s="8"/>
      <c r="T35" s="8"/>
      <c r="U35" s="8"/>
      <c r="V35" s="8"/>
      <c r="W35" s="8"/>
      <c r="X35" s="8"/>
      <c r="Y35" s="8"/>
      <c r="Z35" s="8"/>
      <c r="AA35" s="49"/>
      <c r="AB35" s="49"/>
    </row>
    <row r="36" spans="1:28" ht="15" x14ac:dyDescent="0.2">
      <c r="A36" s="172" t="s">
        <v>86</v>
      </c>
      <c r="B36" s="173"/>
      <c r="C36" s="173"/>
      <c r="D36" s="173"/>
      <c r="E36" s="173"/>
      <c r="F36" s="173"/>
      <c r="G36" s="173"/>
      <c r="H36" s="177"/>
      <c r="I36" s="112"/>
      <c r="J36" s="86"/>
      <c r="K36" s="86"/>
      <c r="L36" s="86"/>
      <c r="M36" s="86"/>
      <c r="N36" s="86"/>
      <c r="O36" s="86"/>
      <c r="P36" s="86"/>
      <c r="Q36" s="86"/>
      <c r="R36" s="86"/>
      <c r="S36" s="86"/>
      <c r="T36" s="86"/>
      <c r="U36" s="86"/>
      <c r="V36" s="86"/>
      <c r="W36" s="86"/>
      <c r="X36" s="86"/>
      <c r="Y36" s="86"/>
      <c r="Z36" s="86"/>
      <c r="AA36" s="49"/>
      <c r="AB36" s="49"/>
    </row>
    <row r="37" spans="1:28" ht="85.5" x14ac:dyDescent="0.2">
      <c r="A37" s="92" t="s">
        <v>266</v>
      </c>
      <c r="B37" s="92" t="s">
        <v>588</v>
      </c>
      <c r="C37" s="92" t="s">
        <v>887</v>
      </c>
      <c r="D37" s="92" t="s">
        <v>596</v>
      </c>
      <c r="E37" s="92"/>
      <c r="F37" s="92" t="s">
        <v>910</v>
      </c>
      <c r="G37" s="92"/>
      <c r="H37" s="92" t="s">
        <v>25</v>
      </c>
      <c r="I37" s="92"/>
      <c r="J37" s="73"/>
      <c r="K37" s="73"/>
      <c r="L37" s="73"/>
      <c r="M37" s="73"/>
      <c r="N37" s="73"/>
      <c r="O37" s="73"/>
      <c r="P37" s="73"/>
      <c r="Q37" s="73"/>
      <c r="R37" s="73"/>
      <c r="S37" s="73"/>
      <c r="T37" s="73"/>
      <c r="U37" s="73"/>
      <c r="V37" s="73"/>
      <c r="W37" s="73"/>
      <c r="X37" s="73"/>
      <c r="Y37" s="49"/>
      <c r="Z37" s="49"/>
      <c r="AA37" s="49"/>
      <c r="AB37" s="49"/>
    </row>
    <row r="38" spans="1:28" ht="57" x14ac:dyDescent="0.2">
      <c r="A38" s="92" t="s">
        <v>267</v>
      </c>
      <c r="B38" s="92" t="s">
        <v>589</v>
      </c>
      <c r="C38" s="92" t="s">
        <v>903</v>
      </c>
      <c r="D38" s="92" t="s">
        <v>597</v>
      </c>
      <c r="E38" s="92"/>
      <c r="F38" s="92" t="s">
        <v>598</v>
      </c>
      <c r="G38" s="92"/>
      <c r="H38" s="92" t="s">
        <v>25</v>
      </c>
      <c r="I38" s="92"/>
      <c r="J38" s="8"/>
      <c r="K38" s="8"/>
      <c r="L38" s="8"/>
      <c r="M38" s="8"/>
      <c r="N38" s="8"/>
      <c r="O38" s="8"/>
      <c r="P38" s="8"/>
      <c r="Q38" s="8"/>
      <c r="R38" s="8"/>
      <c r="S38" s="8"/>
      <c r="T38" s="8"/>
      <c r="U38" s="8"/>
      <c r="V38" s="8"/>
      <c r="W38" s="8"/>
      <c r="X38" s="8"/>
      <c r="Y38" s="49"/>
      <c r="Z38" s="49"/>
      <c r="AA38" s="49"/>
      <c r="AB38" s="49"/>
    </row>
    <row r="39" spans="1:28" ht="57" x14ac:dyDescent="0.2">
      <c r="A39" s="92" t="s">
        <v>268</v>
      </c>
      <c r="B39" s="92" t="s">
        <v>590</v>
      </c>
      <c r="C39" s="92" t="s">
        <v>902</v>
      </c>
      <c r="D39" s="92" t="s">
        <v>599</v>
      </c>
      <c r="E39" s="92"/>
      <c r="F39" s="92" t="s">
        <v>939</v>
      </c>
      <c r="G39" s="92"/>
      <c r="H39" s="92" t="s">
        <v>25</v>
      </c>
      <c r="I39" s="92"/>
      <c r="J39" s="8"/>
      <c r="K39" s="8"/>
      <c r="L39" s="8"/>
      <c r="M39" s="8"/>
      <c r="N39" s="8"/>
      <c r="O39" s="8"/>
      <c r="P39" s="8"/>
      <c r="Q39" s="8"/>
      <c r="R39" s="8"/>
      <c r="S39" s="8"/>
      <c r="T39" s="8"/>
      <c r="U39" s="8"/>
      <c r="V39" s="8"/>
      <c r="W39" s="8"/>
      <c r="X39" s="8"/>
      <c r="Y39" s="49"/>
      <c r="Z39" s="49"/>
      <c r="AA39" s="49"/>
      <c r="AB39" s="49"/>
    </row>
    <row r="40" spans="1:28" ht="85.5" x14ac:dyDescent="0.2">
      <c r="A40" s="92" t="s">
        <v>717</v>
      </c>
      <c r="B40" s="92" t="s">
        <v>591</v>
      </c>
      <c r="C40" s="92" t="s">
        <v>900</v>
      </c>
      <c r="D40" s="92" t="s">
        <v>600</v>
      </c>
      <c r="E40" s="92"/>
      <c r="F40" s="92" t="s">
        <v>901</v>
      </c>
      <c r="G40" s="92"/>
      <c r="H40" s="92" t="s">
        <v>25</v>
      </c>
      <c r="I40" s="92"/>
      <c r="J40" s="8"/>
      <c r="K40" s="8"/>
      <c r="L40" s="8"/>
      <c r="M40" s="8"/>
      <c r="N40" s="8"/>
      <c r="O40" s="8"/>
      <c r="P40" s="8"/>
      <c r="Q40" s="8"/>
      <c r="R40" s="8"/>
      <c r="S40" s="8"/>
      <c r="T40" s="8"/>
      <c r="U40" s="8"/>
      <c r="V40" s="8"/>
      <c r="W40" s="8"/>
      <c r="X40" s="8"/>
      <c r="Y40" s="49"/>
      <c r="Z40" s="49"/>
      <c r="AA40" s="49"/>
      <c r="AB40" s="49"/>
    </row>
    <row r="41" spans="1:28" ht="15" x14ac:dyDescent="0.2">
      <c r="A41" s="172" t="s">
        <v>160</v>
      </c>
      <c r="B41" s="173"/>
      <c r="C41" s="173"/>
      <c r="D41" s="173"/>
      <c r="E41" s="173"/>
      <c r="F41" s="173"/>
      <c r="G41" s="173"/>
      <c r="H41" s="177"/>
      <c r="I41" s="112"/>
      <c r="J41" s="86"/>
      <c r="K41" s="86"/>
      <c r="L41" s="86"/>
      <c r="M41" s="86"/>
      <c r="N41" s="86"/>
      <c r="O41" s="86"/>
      <c r="P41" s="86"/>
      <c r="Q41" s="86"/>
      <c r="R41" s="86"/>
      <c r="S41" s="86"/>
      <c r="T41" s="86"/>
      <c r="U41" s="86"/>
      <c r="V41" s="86"/>
      <c r="W41" s="86"/>
      <c r="X41" s="86"/>
      <c r="Y41" s="86"/>
      <c r="Z41" s="86"/>
      <c r="AA41" s="49"/>
      <c r="AB41" s="49"/>
    </row>
    <row r="42" spans="1:28" ht="71.25" x14ac:dyDescent="0.2">
      <c r="A42" s="92" t="s">
        <v>586</v>
      </c>
      <c r="B42" s="92" t="s">
        <v>592</v>
      </c>
      <c r="C42" s="92" t="s">
        <v>887</v>
      </c>
      <c r="D42" s="92" t="s">
        <v>593</v>
      </c>
      <c r="E42" s="92"/>
      <c r="F42" s="92" t="s">
        <v>895</v>
      </c>
      <c r="G42" s="92"/>
      <c r="H42" s="92" t="s">
        <v>28</v>
      </c>
      <c r="I42" s="92"/>
      <c r="J42" s="8"/>
      <c r="K42" s="8"/>
      <c r="L42" s="8"/>
      <c r="M42" s="8"/>
      <c r="N42" s="8"/>
      <c r="O42" s="8"/>
      <c r="P42" s="8"/>
      <c r="Q42" s="8"/>
      <c r="R42" s="8"/>
      <c r="S42" s="8"/>
      <c r="T42" s="8"/>
      <c r="U42" s="8"/>
      <c r="V42" s="8"/>
      <c r="W42" s="8"/>
      <c r="X42" s="8"/>
      <c r="Y42" s="49"/>
      <c r="Z42" s="49"/>
      <c r="AA42" s="49"/>
      <c r="AB42" s="49"/>
    </row>
    <row r="43" spans="1:28" ht="14.25" x14ac:dyDescent="0.2">
      <c r="A43" s="8"/>
      <c r="B43" s="8"/>
      <c r="C43" s="8"/>
      <c r="D43" s="8"/>
      <c r="E43" s="8"/>
      <c r="F43" s="8"/>
      <c r="G43" s="8"/>
      <c r="H43" s="8"/>
      <c r="I43" s="8"/>
      <c r="J43" s="8"/>
      <c r="K43" s="8"/>
      <c r="L43" s="8"/>
      <c r="M43" s="8"/>
      <c r="N43" s="8"/>
      <c r="O43" s="8"/>
      <c r="P43" s="8"/>
      <c r="Q43" s="8"/>
      <c r="R43" s="8"/>
      <c r="S43" s="8"/>
      <c r="T43" s="8"/>
      <c r="U43" s="8"/>
      <c r="V43" s="8"/>
      <c r="W43" s="8"/>
      <c r="X43" s="8"/>
      <c r="Y43" s="49"/>
      <c r="Z43" s="49"/>
      <c r="AA43" s="49"/>
      <c r="AB43" s="49"/>
    </row>
    <row r="44" spans="1:28" ht="14.25" x14ac:dyDescent="0.2">
      <c r="A44" s="8"/>
      <c r="B44" s="8"/>
      <c r="C44" s="8"/>
      <c r="D44" s="8"/>
      <c r="E44" s="8"/>
      <c r="F44" s="8"/>
      <c r="G44" s="8"/>
      <c r="H44" s="8"/>
      <c r="I44" s="8"/>
      <c r="J44" s="8"/>
      <c r="K44" s="8"/>
      <c r="L44" s="8"/>
      <c r="M44" s="8"/>
      <c r="N44" s="8"/>
      <c r="O44" s="8"/>
      <c r="P44" s="8"/>
      <c r="Q44" s="8"/>
      <c r="R44" s="8"/>
      <c r="S44" s="8"/>
      <c r="T44" s="8"/>
      <c r="U44" s="8"/>
      <c r="V44" s="8"/>
      <c r="W44" s="8"/>
      <c r="X44" s="8"/>
      <c r="Y44" s="49"/>
      <c r="Z44" s="49"/>
      <c r="AA44" s="49"/>
      <c r="AB44" s="49"/>
    </row>
    <row r="45" spans="1:28" ht="14.25"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49"/>
      <c r="K187" s="49"/>
      <c r="L187" s="49"/>
      <c r="M187" s="49"/>
      <c r="N187" s="49"/>
      <c r="O187" s="49"/>
      <c r="P187" s="49"/>
      <c r="Q187" s="49"/>
      <c r="R187" s="49"/>
      <c r="S187" s="49"/>
      <c r="T187" s="49"/>
      <c r="U187" s="49"/>
      <c r="V187" s="49"/>
      <c r="W187" s="49"/>
      <c r="X187" s="49"/>
      <c r="Y187" s="49"/>
      <c r="Z187" s="49"/>
      <c r="AA187" s="49"/>
      <c r="AB187" s="49"/>
    </row>
    <row r="188" spans="1:28" ht="14.25" x14ac:dyDescent="0.2">
      <c r="A188" s="8"/>
      <c r="B188" s="8"/>
      <c r="C188" s="8"/>
      <c r="D188" s="8"/>
      <c r="E188" s="8"/>
      <c r="F188" s="8"/>
      <c r="G188" s="8"/>
      <c r="H188" s="8"/>
      <c r="I188" s="8"/>
      <c r="J188" s="49"/>
      <c r="K188" s="49"/>
      <c r="L188" s="49"/>
      <c r="M188" s="49"/>
      <c r="N188" s="49"/>
      <c r="O188" s="49"/>
      <c r="P188" s="49"/>
      <c r="Q188" s="49"/>
      <c r="R188" s="49"/>
      <c r="S188" s="49"/>
      <c r="T188" s="49"/>
      <c r="U188" s="49"/>
      <c r="V188" s="49"/>
      <c r="W188" s="49"/>
      <c r="X188" s="49"/>
      <c r="Y188" s="49"/>
      <c r="Z188" s="49"/>
      <c r="AA188" s="49"/>
      <c r="AB188" s="49"/>
    </row>
    <row r="189" spans="1:28" ht="14.25" x14ac:dyDescent="0.2">
      <c r="A189" s="8"/>
      <c r="B189" s="8"/>
      <c r="C189" s="8"/>
      <c r="D189" s="8"/>
      <c r="E189" s="8"/>
      <c r="F189" s="8"/>
      <c r="G189" s="8"/>
      <c r="H189" s="8"/>
      <c r="I189" s="8"/>
      <c r="J189" s="49"/>
      <c r="K189" s="49"/>
      <c r="L189" s="49"/>
      <c r="M189" s="49"/>
      <c r="N189" s="49"/>
      <c r="O189" s="49"/>
      <c r="P189" s="49"/>
      <c r="Q189" s="49"/>
      <c r="R189" s="49"/>
      <c r="S189" s="49"/>
      <c r="T189" s="49"/>
      <c r="U189" s="49"/>
      <c r="V189" s="49"/>
      <c r="W189" s="49"/>
      <c r="X189" s="49"/>
      <c r="Y189" s="49"/>
      <c r="Z189" s="49"/>
      <c r="AA189" s="49"/>
      <c r="AB189" s="49"/>
    </row>
    <row r="190" spans="1:28" ht="14.25" x14ac:dyDescent="0.2">
      <c r="A190" s="8"/>
      <c r="B190" s="8"/>
      <c r="C190" s="8"/>
      <c r="D190" s="8"/>
      <c r="E190" s="8"/>
      <c r="F190" s="8"/>
      <c r="G190" s="8"/>
      <c r="H190" s="8"/>
      <c r="I190" s="8"/>
      <c r="J190" s="49"/>
      <c r="K190" s="49"/>
      <c r="L190" s="49"/>
      <c r="M190" s="49"/>
      <c r="N190" s="49"/>
      <c r="O190" s="49"/>
      <c r="P190" s="49"/>
      <c r="Q190" s="49"/>
      <c r="R190" s="49"/>
      <c r="S190" s="49"/>
      <c r="T190" s="49"/>
      <c r="U190" s="49"/>
      <c r="V190" s="49"/>
      <c r="W190" s="49"/>
      <c r="X190" s="49"/>
      <c r="Y190" s="49"/>
      <c r="Z190" s="49"/>
      <c r="AA190" s="49"/>
      <c r="AB190" s="49"/>
    </row>
    <row r="191" spans="1:28" ht="14.25" x14ac:dyDescent="0.2">
      <c r="A191" s="8"/>
      <c r="B191" s="8"/>
      <c r="C191" s="8"/>
      <c r="D191" s="8"/>
      <c r="E191" s="8"/>
      <c r="F191" s="8"/>
      <c r="G191" s="8"/>
      <c r="H191" s="8"/>
      <c r="I191" s="8"/>
      <c r="J191" s="49"/>
      <c r="K191" s="49"/>
      <c r="L191" s="49"/>
      <c r="M191" s="49"/>
      <c r="N191" s="49"/>
      <c r="O191" s="49"/>
      <c r="P191" s="49"/>
      <c r="Q191" s="49"/>
      <c r="R191" s="49"/>
      <c r="S191" s="49"/>
      <c r="T191" s="49"/>
      <c r="U191" s="49"/>
      <c r="V191" s="49"/>
      <c r="W191" s="49"/>
      <c r="X191" s="49"/>
      <c r="Y191" s="49"/>
      <c r="Z191" s="49"/>
      <c r="AA191" s="49"/>
      <c r="AB191" s="49"/>
    </row>
    <row r="192" spans="1:28" ht="14.25" x14ac:dyDescent="0.2">
      <c r="A192" s="8"/>
      <c r="B192" s="8"/>
      <c r="C192" s="8"/>
      <c r="D192" s="8"/>
      <c r="E192" s="8"/>
      <c r="F192" s="8"/>
      <c r="G192" s="8"/>
      <c r="H192" s="8"/>
      <c r="I192" s="8"/>
      <c r="J192" s="49"/>
      <c r="K192" s="49"/>
      <c r="L192" s="49"/>
      <c r="M192" s="49"/>
      <c r="N192" s="49"/>
      <c r="O192" s="49"/>
      <c r="P192" s="49"/>
      <c r="Q192" s="49"/>
      <c r="R192" s="49"/>
      <c r="S192" s="49"/>
      <c r="T192" s="49"/>
      <c r="U192" s="49"/>
      <c r="V192" s="49"/>
      <c r="W192" s="49"/>
      <c r="X192" s="49"/>
      <c r="Y192" s="49"/>
      <c r="Z192" s="49"/>
      <c r="AA192" s="49"/>
      <c r="AB192" s="49"/>
    </row>
    <row r="193" spans="1:28" ht="14.25" x14ac:dyDescent="0.2">
      <c r="A193" s="8"/>
      <c r="B193" s="8"/>
      <c r="C193" s="8"/>
      <c r="D193" s="8"/>
      <c r="E193" s="8"/>
      <c r="F193" s="8"/>
      <c r="G193" s="8"/>
      <c r="H193" s="8"/>
      <c r="I193" s="8"/>
      <c r="J193" s="49"/>
      <c r="K193" s="49"/>
      <c r="L193" s="49"/>
      <c r="M193" s="49"/>
      <c r="N193" s="49"/>
      <c r="O193" s="49"/>
      <c r="P193" s="49"/>
      <c r="Q193" s="49"/>
      <c r="R193" s="49"/>
      <c r="S193" s="49"/>
      <c r="T193" s="49"/>
      <c r="U193" s="49"/>
      <c r="V193" s="49"/>
      <c r="W193" s="49"/>
      <c r="X193" s="49"/>
      <c r="Y193" s="49"/>
      <c r="Z193" s="49"/>
      <c r="AA193" s="49"/>
      <c r="AB193" s="49"/>
    </row>
    <row r="194" spans="1:28" ht="14.25" x14ac:dyDescent="0.2">
      <c r="A194" s="8"/>
      <c r="B194" s="8"/>
      <c r="C194" s="8"/>
      <c r="D194" s="8"/>
      <c r="E194" s="8"/>
      <c r="F194" s="8"/>
      <c r="G194" s="8"/>
      <c r="H194" s="8"/>
      <c r="I194" s="8"/>
      <c r="J194" s="49"/>
      <c r="K194" s="49"/>
      <c r="L194" s="49"/>
      <c r="M194" s="49"/>
      <c r="N194" s="49"/>
      <c r="O194" s="49"/>
      <c r="P194" s="49"/>
      <c r="Q194" s="49"/>
      <c r="R194" s="49"/>
      <c r="S194" s="49"/>
      <c r="T194" s="49"/>
      <c r="U194" s="49"/>
      <c r="V194" s="49"/>
      <c r="W194" s="49"/>
      <c r="X194" s="49"/>
      <c r="Y194" s="49"/>
      <c r="Z194" s="49"/>
      <c r="AA194" s="49"/>
      <c r="AB194" s="49"/>
    </row>
    <row r="195" spans="1:28" ht="14.25" x14ac:dyDescent="0.2">
      <c r="A195" s="8"/>
      <c r="B195" s="8"/>
      <c r="C195" s="8"/>
      <c r="D195" s="8"/>
      <c r="E195" s="8"/>
      <c r="F195" s="8"/>
      <c r="G195" s="8"/>
      <c r="H195" s="8"/>
      <c r="I195" s="8"/>
      <c r="J195" s="49"/>
      <c r="K195" s="49"/>
      <c r="L195" s="49"/>
      <c r="M195" s="49"/>
      <c r="N195" s="49"/>
      <c r="O195" s="49"/>
      <c r="P195" s="49"/>
      <c r="Q195" s="49"/>
      <c r="R195" s="49"/>
      <c r="S195" s="49"/>
      <c r="T195" s="49"/>
      <c r="U195" s="49"/>
      <c r="V195" s="49"/>
      <c r="W195" s="49"/>
      <c r="X195" s="49"/>
      <c r="Y195" s="49"/>
      <c r="Z195" s="49"/>
      <c r="AA195" s="49"/>
      <c r="AB195" s="49"/>
    </row>
    <row r="196" spans="1:28" ht="14.25" x14ac:dyDescent="0.2">
      <c r="A196" s="8"/>
      <c r="B196" s="8"/>
      <c r="C196" s="8"/>
      <c r="D196" s="8"/>
      <c r="E196" s="8"/>
      <c r="F196" s="8"/>
      <c r="G196" s="8"/>
      <c r="H196" s="8"/>
      <c r="I196" s="8"/>
      <c r="J196" s="49"/>
      <c r="K196" s="49"/>
      <c r="L196" s="49"/>
      <c r="M196" s="49"/>
      <c r="N196" s="49"/>
      <c r="O196" s="49"/>
      <c r="P196" s="49"/>
      <c r="Q196" s="49"/>
      <c r="R196" s="49"/>
      <c r="S196" s="49"/>
      <c r="T196" s="49"/>
      <c r="U196" s="49"/>
      <c r="V196" s="49"/>
      <c r="W196" s="49"/>
      <c r="X196" s="49"/>
      <c r="Y196" s="49"/>
      <c r="Z196" s="49"/>
      <c r="AA196" s="49"/>
      <c r="AB196" s="49"/>
    </row>
    <row r="197" spans="1:28" ht="14.25" x14ac:dyDescent="0.2">
      <c r="A197" s="8"/>
      <c r="B197" s="8"/>
      <c r="C197" s="8"/>
      <c r="D197" s="8"/>
      <c r="E197" s="8"/>
      <c r="F197" s="8"/>
      <c r="G197" s="8"/>
      <c r="H197" s="8"/>
      <c r="I197" s="8"/>
      <c r="J197" s="49"/>
      <c r="K197" s="49"/>
      <c r="L197" s="49"/>
      <c r="M197" s="49"/>
      <c r="N197" s="49"/>
      <c r="O197" s="49"/>
      <c r="P197" s="49"/>
      <c r="Q197" s="49"/>
      <c r="R197" s="49"/>
      <c r="S197" s="49"/>
      <c r="T197" s="49"/>
      <c r="U197" s="49"/>
      <c r="V197" s="49"/>
      <c r="W197" s="49"/>
      <c r="X197" s="49"/>
      <c r="Y197" s="49"/>
      <c r="Z197" s="49"/>
      <c r="AA197" s="49"/>
      <c r="AB197" s="49"/>
    </row>
    <row r="198" spans="1:28" ht="14.25" x14ac:dyDescent="0.2">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row>
    <row r="199" spans="1:28" ht="14.25" x14ac:dyDescent="0.2">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row>
    <row r="965" spans="1:28" ht="14.25" x14ac:dyDescent="0.2">
      <c r="A965" s="49"/>
      <c r="B965" s="49"/>
      <c r="C965" s="49"/>
      <c r="D965" s="49"/>
      <c r="E965" s="49"/>
      <c r="F965" s="49"/>
      <c r="G965" s="49"/>
      <c r="H965" s="49"/>
      <c r="I965" s="49"/>
    </row>
    <row r="966" spans="1:28" ht="14.25" x14ac:dyDescent="0.2">
      <c r="A966" s="49"/>
      <c r="B966" s="49"/>
      <c r="C966" s="49"/>
      <c r="D966" s="49"/>
      <c r="E966" s="49"/>
      <c r="F966" s="49"/>
      <c r="G966" s="49"/>
      <c r="H966" s="49"/>
      <c r="I966" s="49"/>
    </row>
    <row r="967" spans="1:28" ht="14.25" x14ac:dyDescent="0.2">
      <c r="A967" s="49"/>
      <c r="B967" s="49"/>
      <c r="C967" s="49"/>
      <c r="D967" s="49"/>
      <c r="E967" s="49"/>
      <c r="F967" s="49"/>
      <c r="G967" s="49"/>
      <c r="H967" s="49"/>
      <c r="I967" s="49"/>
    </row>
    <row r="968" spans="1:28" ht="14.25" x14ac:dyDescent="0.2">
      <c r="A968" s="49"/>
      <c r="B968" s="49"/>
      <c r="C968" s="49"/>
      <c r="D968" s="49"/>
      <c r="E968" s="49"/>
      <c r="F968" s="49"/>
      <c r="G968" s="49"/>
      <c r="H968" s="49"/>
      <c r="I968" s="49"/>
    </row>
    <row r="969" spans="1:28" ht="14.25" x14ac:dyDescent="0.2">
      <c r="A969" s="49"/>
      <c r="B969" s="49"/>
      <c r="C969" s="49"/>
      <c r="D969" s="49"/>
      <c r="E969" s="49"/>
      <c r="F969" s="49"/>
      <c r="G969" s="49"/>
      <c r="H969" s="49"/>
      <c r="I969" s="49"/>
    </row>
    <row r="970" spans="1:28" ht="14.25" x14ac:dyDescent="0.2">
      <c r="A970" s="49"/>
      <c r="B970" s="49"/>
      <c r="C970" s="49"/>
      <c r="D970" s="49"/>
      <c r="E970" s="49"/>
      <c r="F970" s="49"/>
      <c r="G970" s="49"/>
      <c r="H970" s="49"/>
      <c r="I970" s="49"/>
    </row>
    <row r="971" spans="1:28" ht="14.25" x14ac:dyDescent="0.2">
      <c r="A971" s="49"/>
      <c r="B971" s="49"/>
      <c r="C971" s="49"/>
      <c r="D971" s="49"/>
      <c r="E971" s="49"/>
      <c r="F971" s="49"/>
      <c r="G971" s="49"/>
      <c r="H971" s="49"/>
      <c r="I971" s="49"/>
    </row>
    <row r="972" spans="1:28" ht="14.25" x14ac:dyDescent="0.2">
      <c r="A972" s="49"/>
      <c r="B972" s="49"/>
      <c r="C972" s="49"/>
      <c r="D972" s="49"/>
      <c r="E972" s="49"/>
      <c r="F972" s="49"/>
      <c r="G972" s="49"/>
      <c r="H972" s="49"/>
      <c r="I972" s="49"/>
    </row>
    <row r="973" spans="1:28" ht="14.25" x14ac:dyDescent="0.2">
      <c r="A973" s="49"/>
      <c r="B973" s="49"/>
      <c r="C973" s="49"/>
      <c r="D973" s="49"/>
      <c r="E973" s="49"/>
      <c r="F973" s="49"/>
      <c r="G973" s="49"/>
      <c r="H973" s="49"/>
      <c r="I973" s="49"/>
    </row>
    <row r="974" spans="1:28" ht="14.25" x14ac:dyDescent="0.2">
      <c r="A974" s="49"/>
      <c r="B974" s="49"/>
      <c r="C974" s="49"/>
      <c r="D974" s="49"/>
      <c r="E974" s="49"/>
      <c r="F974" s="49"/>
      <c r="G974" s="49"/>
      <c r="H974" s="49"/>
      <c r="I974" s="49"/>
    </row>
  </sheetData>
  <mergeCells count="3">
    <mergeCell ref="A9:H9"/>
    <mergeCell ref="A36:H36"/>
    <mergeCell ref="A41:H41"/>
  </mergeCells>
  <phoneticPr fontId="25" type="noConversion"/>
  <dataValidations count="1">
    <dataValidation type="list" allowBlank="1" showInputMessage="1" showErrorMessage="1" sqref="H10:H35 H42 H37:H40" xr:uid="{204E75CC-BA3C-4D73-9946-CA2758D2DE78}">
      <formula1>"'Pass,'Fail,'Untest,'N/A"</formula1>
    </dataValidation>
  </dataValidations>
  <hyperlinks>
    <hyperlink ref="B2" location="null!A1" display="Back to TestReport" xr:uid="{5F0F7685-761A-4573-91C5-68803FFAD757}"/>
  </hyperlinks>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892C-9C56-416D-9E0E-92A7A6713189}">
  <sheetPr>
    <outlinePr summaryBelow="0" summaryRight="0"/>
  </sheetPr>
  <dimension ref="A1:AB984"/>
  <sheetViews>
    <sheetView zoomScaleNormal="100" workbookViewId="0">
      <pane xSplit="1" ySplit="8" topLeftCell="G24" activePane="bottomRight" state="frozen"/>
      <selection pane="topRight" activeCell="B1" sqref="B1"/>
      <selection pane="bottomLeft" activeCell="A9" sqref="A9"/>
      <selection pane="bottomRight" activeCell="H19" sqref="H19:H28"/>
    </sheetView>
  </sheetViews>
  <sheetFormatPr defaultColWidth="12.625" defaultRowHeight="13.5" x14ac:dyDescent="0.15"/>
  <cols>
    <col min="1" max="1" width="12.75" customWidth="1"/>
    <col min="2" max="2" width="23.875" bestFit="1" customWidth="1"/>
    <col min="3" max="3" width="22.75" customWidth="1"/>
    <col min="4" max="4" width="20.25" customWidth="1"/>
    <col min="5" max="5" width="21.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COUNTIF($A$10:$A$850, "TC*")</f>
        <v>20</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59</v>
      </c>
      <c r="D3" s="50"/>
      <c r="E3" s="50"/>
      <c r="F3" s="50"/>
      <c r="G3" s="134" t="s">
        <v>25</v>
      </c>
      <c r="H3" s="64">
        <f>(COUNTIF(H10:H34,"Pass"))</f>
        <v>18</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(COUNTIF(H10:H34,"Fail"))</f>
        <v>0</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(COUNTIF(H10:H45,"Untest"))</f>
        <v>2</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90%</v>
      </c>
      <c r="D6" s="50"/>
      <c r="E6" s="50"/>
      <c r="F6" s="50"/>
      <c r="G6" s="84" t="s">
        <v>30</v>
      </c>
      <c r="H6" s="85">
        <f>(COUNTIF(H10:H34,"N/A"))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20" t="s">
        <v>31</v>
      </c>
      <c r="B8" s="120" t="s">
        <v>32</v>
      </c>
      <c r="C8" s="121" t="s">
        <v>21</v>
      </c>
      <c r="D8" s="120" t="s">
        <v>14</v>
      </c>
      <c r="E8" s="121" t="s">
        <v>33</v>
      </c>
      <c r="F8" s="120" t="s">
        <v>34</v>
      </c>
      <c r="G8" s="122" t="s">
        <v>35</v>
      </c>
      <c r="H8" s="123" t="s">
        <v>64</v>
      </c>
      <c r="I8" s="121" t="s">
        <v>36</v>
      </c>
      <c r="J8" s="58"/>
      <c r="K8" s="58"/>
      <c r="L8" s="58"/>
      <c r="M8" s="58"/>
      <c r="N8" s="58"/>
      <c r="O8" s="58"/>
      <c r="P8" s="58"/>
      <c r="Q8" s="58"/>
      <c r="R8" s="58"/>
      <c r="S8" s="58"/>
      <c r="T8" s="58"/>
      <c r="U8" s="58"/>
      <c r="V8" s="58"/>
      <c r="W8" s="58"/>
      <c r="X8" s="58"/>
      <c r="Y8" s="58"/>
      <c r="Z8" s="58"/>
      <c r="AA8" s="49"/>
      <c r="AB8" s="49"/>
    </row>
    <row r="9" spans="1:28" ht="15" x14ac:dyDescent="0.2">
      <c r="A9" s="174" t="s">
        <v>85</v>
      </c>
      <c r="B9" s="175"/>
      <c r="C9" s="175"/>
      <c r="D9" s="175"/>
      <c r="E9" s="175"/>
      <c r="F9" s="175"/>
      <c r="G9" s="175"/>
      <c r="H9" s="176"/>
      <c r="I9" s="116"/>
      <c r="J9" s="86"/>
      <c r="K9" s="86"/>
      <c r="L9" s="86"/>
      <c r="M9" s="86"/>
      <c r="N9" s="86"/>
      <c r="O9" s="86"/>
      <c r="P9" s="86"/>
      <c r="Q9" s="86"/>
      <c r="R9" s="86"/>
      <c r="S9" s="86"/>
      <c r="T9" s="86"/>
      <c r="U9" s="86"/>
      <c r="V9" s="86"/>
      <c r="W9" s="86"/>
      <c r="X9" s="86"/>
      <c r="Y9" s="86"/>
      <c r="Z9" s="86"/>
      <c r="AA9" s="49"/>
      <c r="AB9" s="49"/>
    </row>
    <row r="10" spans="1:28" ht="85.5" x14ac:dyDescent="0.2">
      <c r="A10" s="92" t="s">
        <v>381</v>
      </c>
      <c r="B10" s="92" t="s">
        <v>382</v>
      </c>
      <c r="C10" s="92" t="s">
        <v>945</v>
      </c>
      <c r="D10" s="92" t="s">
        <v>415</v>
      </c>
      <c r="E10" s="92"/>
      <c r="F10" s="92" t="s">
        <v>946</v>
      </c>
      <c r="G10" s="92"/>
      <c r="H10" s="92" t="s">
        <v>25</v>
      </c>
      <c r="I10" s="92"/>
      <c r="J10" s="8"/>
      <c r="K10" s="8"/>
      <c r="L10" s="8"/>
      <c r="M10" s="8"/>
      <c r="N10" s="8"/>
      <c r="O10" s="8"/>
      <c r="P10" s="8"/>
      <c r="Q10" s="8"/>
      <c r="R10" s="8"/>
      <c r="S10" s="8"/>
      <c r="T10" s="8"/>
      <c r="U10" s="8"/>
      <c r="V10" s="8"/>
      <c r="W10" s="8"/>
      <c r="X10" s="8"/>
      <c r="Y10" s="8"/>
      <c r="Z10" s="8"/>
      <c r="AA10" s="49"/>
      <c r="AB10" s="49"/>
    </row>
    <row r="11" spans="1:28" ht="85.5" x14ac:dyDescent="0.2">
      <c r="A11" s="92" t="s">
        <v>383</v>
      </c>
      <c r="B11" s="92" t="s">
        <v>384</v>
      </c>
      <c r="C11" s="92" t="s">
        <v>948</v>
      </c>
      <c r="D11" s="92" t="s">
        <v>416</v>
      </c>
      <c r="E11" s="92"/>
      <c r="F11" s="92" t="s">
        <v>417</v>
      </c>
      <c r="G11" s="92"/>
      <c r="H11" s="92" t="s">
        <v>25</v>
      </c>
      <c r="I11" s="92"/>
      <c r="J11" s="8" t="s">
        <v>733</v>
      </c>
      <c r="K11" s="8"/>
      <c r="L11" s="8"/>
      <c r="M11" s="8"/>
      <c r="N11" s="8"/>
      <c r="O11" s="8"/>
      <c r="P11" s="8"/>
      <c r="Q11" s="8"/>
      <c r="R11" s="8"/>
      <c r="S11" s="8"/>
      <c r="T11" s="8"/>
      <c r="U11" s="8"/>
      <c r="V11" s="8"/>
      <c r="W11" s="8"/>
      <c r="X11" s="8"/>
      <c r="Y11" s="49"/>
      <c r="Z11" s="49"/>
      <c r="AA11" s="49"/>
      <c r="AB11" s="49"/>
    </row>
    <row r="12" spans="1:28" ht="156.75" x14ac:dyDescent="0.2">
      <c r="A12" s="92" t="s">
        <v>385</v>
      </c>
      <c r="B12" s="92" t="s">
        <v>386</v>
      </c>
      <c r="C12" s="92" t="s">
        <v>950</v>
      </c>
      <c r="D12" s="92" t="s">
        <v>949</v>
      </c>
      <c r="E12" s="92"/>
      <c r="F12" s="92" t="s">
        <v>960</v>
      </c>
      <c r="G12" s="92"/>
      <c r="H12" s="92" t="s">
        <v>25</v>
      </c>
      <c r="I12" s="92"/>
      <c r="J12" s="8"/>
      <c r="K12" s="8"/>
      <c r="L12" s="8"/>
      <c r="M12" s="8"/>
      <c r="N12" s="8"/>
      <c r="O12" s="8"/>
      <c r="P12" s="8"/>
      <c r="Q12" s="8"/>
      <c r="R12" s="8"/>
      <c r="S12" s="8"/>
      <c r="T12" s="8"/>
      <c r="U12" s="8"/>
      <c r="V12" s="8"/>
      <c r="W12" s="8"/>
      <c r="X12" s="8"/>
      <c r="Y12" s="49"/>
      <c r="Z12" s="49"/>
      <c r="AA12" s="49"/>
      <c r="AB12" s="49"/>
    </row>
    <row r="13" spans="1:28" ht="85.5" x14ac:dyDescent="0.2">
      <c r="A13" s="92" t="s">
        <v>387</v>
      </c>
      <c r="B13" s="92" t="s">
        <v>445</v>
      </c>
      <c r="C13" s="92" t="s">
        <v>950</v>
      </c>
      <c r="D13" s="92" t="s">
        <v>947</v>
      </c>
      <c r="E13" s="92"/>
      <c r="F13" s="92" t="s">
        <v>960</v>
      </c>
      <c r="G13" s="92"/>
      <c r="H13" s="92" t="s">
        <v>25</v>
      </c>
      <c r="I13" s="92"/>
      <c r="J13" s="73" t="s">
        <v>733</v>
      </c>
      <c r="K13" s="73"/>
      <c r="L13" s="73"/>
      <c r="M13" s="73"/>
      <c r="N13" s="73"/>
      <c r="O13" s="73"/>
      <c r="P13" s="73"/>
      <c r="Q13" s="73"/>
      <c r="R13" s="73"/>
      <c r="S13" s="73"/>
      <c r="T13" s="73"/>
      <c r="U13" s="73"/>
      <c r="V13" s="73"/>
      <c r="W13" s="73"/>
      <c r="X13" s="73"/>
      <c r="Y13" s="49"/>
      <c r="Z13" s="49"/>
      <c r="AA13" s="49"/>
      <c r="AB13" s="49"/>
    </row>
    <row r="14" spans="1:28" ht="71.25" x14ac:dyDescent="0.2">
      <c r="A14" s="92" t="s">
        <v>389</v>
      </c>
      <c r="B14" s="92" t="s">
        <v>388</v>
      </c>
      <c r="C14" s="92" t="s">
        <v>1309</v>
      </c>
      <c r="D14" s="92" t="s">
        <v>418</v>
      </c>
      <c r="E14" s="92"/>
      <c r="F14" s="92" t="s">
        <v>961</v>
      </c>
      <c r="G14" s="92"/>
      <c r="H14" s="92" t="s">
        <v>25</v>
      </c>
      <c r="I14" s="92"/>
      <c r="J14" s="8" t="s">
        <v>733</v>
      </c>
      <c r="K14" s="8"/>
      <c r="L14" s="8"/>
      <c r="M14" s="8"/>
      <c r="N14" s="8"/>
      <c r="O14" s="8"/>
      <c r="P14" s="8"/>
      <c r="Q14" s="8"/>
      <c r="R14" s="8"/>
      <c r="S14" s="8"/>
      <c r="T14" s="8"/>
      <c r="U14" s="8"/>
      <c r="V14" s="8"/>
      <c r="W14" s="8"/>
      <c r="X14" s="8"/>
      <c r="Y14" s="49"/>
      <c r="Z14" s="49"/>
      <c r="AA14" s="49"/>
      <c r="AB14" s="49"/>
    </row>
    <row r="15" spans="1:28" ht="71.25" x14ac:dyDescent="0.2">
      <c r="A15" s="92" t="s">
        <v>391</v>
      </c>
      <c r="B15" s="92" t="s">
        <v>390</v>
      </c>
      <c r="C15" s="92" t="s">
        <v>951</v>
      </c>
      <c r="D15" s="92" t="s">
        <v>419</v>
      </c>
      <c r="E15" s="92"/>
      <c r="F15" s="92" t="s">
        <v>420</v>
      </c>
      <c r="G15" s="92"/>
      <c r="H15" s="92" t="s">
        <v>25</v>
      </c>
      <c r="I15" s="92"/>
      <c r="J15" s="8"/>
      <c r="K15" s="8"/>
      <c r="L15" s="8"/>
      <c r="M15" s="8"/>
      <c r="N15" s="8"/>
      <c r="O15" s="8"/>
      <c r="P15" s="8"/>
      <c r="Q15" s="8"/>
      <c r="R15" s="8"/>
      <c r="S15" s="8"/>
      <c r="T15" s="8"/>
      <c r="U15" s="8"/>
      <c r="V15" s="8"/>
      <c r="W15" s="8"/>
      <c r="X15" s="8"/>
      <c r="Y15" s="49"/>
      <c r="Z15" s="49"/>
      <c r="AA15" s="49"/>
      <c r="AB15" s="49"/>
    </row>
    <row r="16" spans="1:28" ht="71.25" x14ac:dyDescent="0.2">
      <c r="A16" s="92" t="s">
        <v>393</v>
      </c>
      <c r="B16" s="92" t="s">
        <v>444</v>
      </c>
      <c r="C16" s="92" t="s">
        <v>948</v>
      </c>
      <c r="D16" s="92" t="s">
        <v>419</v>
      </c>
      <c r="E16" s="92"/>
      <c r="F16" s="92" t="s">
        <v>420</v>
      </c>
      <c r="G16" s="92"/>
      <c r="H16" s="92" t="s">
        <v>25</v>
      </c>
      <c r="I16" s="92"/>
      <c r="J16" s="73"/>
      <c r="K16" s="73"/>
      <c r="L16" s="73"/>
      <c r="M16" s="73"/>
      <c r="N16" s="73"/>
      <c r="O16" s="73"/>
      <c r="P16" s="73"/>
      <c r="Q16" s="73"/>
      <c r="R16" s="73"/>
      <c r="S16" s="73"/>
      <c r="T16" s="73"/>
      <c r="U16" s="73"/>
      <c r="V16" s="73"/>
      <c r="W16" s="73"/>
      <c r="X16" s="73"/>
      <c r="Y16" s="49"/>
      <c r="Z16" s="49"/>
      <c r="AA16" s="49"/>
      <c r="AB16" s="49"/>
    </row>
    <row r="17" spans="1:28" ht="57" x14ac:dyDescent="0.2">
      <c r="A17" s="92" t="s">
        <v>394</v>
      </c>
      <c r="B17" s="92" t="s">
        <v>446</v>
      </c>
      <c r="C17" s="92" t="s">
        <v>447</v>
      </c>
      <c r="D17" s="92" t="s">
        <v>448</v>
      </c>
      <c r="E17" s="92" t="s">
        <v>725</v>
      </c>
      <c r="F17" s="92" t="s">
        <v>449</v>
      </c>
      <c r="G17" s="92"/>
      <c r="H17" s="92" t="s">
        <v>25</v>
      </c>
      <c r="I17" s="92"/>
      <c r="J17" s="73"/>
      <c r="K17" s="73"/>
      <c r="L17" s="73"/>
      <c r="M17" s="73"/>
      <c r="N17" s="73"/>
      <c r="O17" s="73"/>
      <c r="P17" s="73"/>
      <c r="Q17" s="73"/>
      <c r="R17" s="73"/>
      <c r="S17" s="73"/>
      <c r="T17" s="73"/>
      <c r="U17" s="73"/>
      <c r="V17" s="73"/>
      <c r="W17" s="73"/>
      <c r="X17" s="73"/>
      <c r="Y17" s="49"/>
      <c r="Z17" s="49"/>
      <c r="AA17" s="49"/>
      <c r="AB17" s="49"/>
    </row>
    <row r="18" spans="1:28" ht="15" x14ac:dyDescent="0.2">
      <c r="A18" s="172" t="s">
        <v>86</v>
      </c>
      <c r="B18" s="173"/>
      <c r="C18" s="173"/>
      <c r="D18" s="173"/>
      <c r="E18" s="173"/>
      <c r="F18" s="173"/>
      <c r="G18" s="173"/>
      <c r="H18" s="177"/>
      <c r="I18" s="119"/>
      <c r="J18" s="73"/>
      <c r="K18" s="73"/>
      <c r="L18" s="73"/>
      <c r="M18" s="73"/>
      <c r="N18" s="73"/>
      <c r="O18" s="73"/>
      <c r="P18" s="73"/>
      <c r="Q18" s="73"/>
      <c r="R18" s="73"/>
      <c r="S18" s="73"/>
      <c r="T18" s="73"/>
      <c r="U18" s="73"/>
      <c r="V18" s="73"/>
      <c r="W18" s="73"/>
      <c r="X18" s="73"/>
      <c r="Y18" s="49"/>
      <c r="Z18" s="49"/>
      <c r="AA18" s="49"/>
      <c r="AB18" s="49"/>
    </row>
    <row r="19" spans="1:28" ht="57" x14ac:dyDescent="0.2">
      <c r="A19" s="92" t="s">
        <v>396</v>
      </c>
      <c r="B19" s="92" t="s">
        <v>395</v>
      </c>
      <c r="C19" s="92" t="s">
        <v>948</v>
      </c>
      <c r="D19" s="92" t="s">
        <v>423</v>
      </c>
      <c r="E19" s="92"/>
      <c r="F19" s="92" t="s">
        <v>424</v>
      </c>
      <c r="G19" s="92"/>
      <c r="H19" s="92" t="s">
        <v>25</v>
      </c>
      <c r="I19" s="92"/>
      <c r="J19" s="73"/>
      <c r="K19" s="73"/>
      <c r="L19" s="73"/>
      <c r="M19" s="73"/>
      <c r="N19" s="73"/>
      <c r="O19" s="73"/>
      <c r="P19" s="73"/>
      <c r="Q19" s="73"/>
      <c r="R19" s="73"/>
      <c r="S19" s="73"/>
      <c r="T19" s="73"/>
      <c r="U19" s="73"/>
      <c r="V19" s="73"/>
      <c r="W19" s="73"/>
      <c r="X19" s="73"/>
      <c r="Y19" s="49"/>
      <c r="Z19" s="49"/>
      <c r="AA19" s="49"/>
      <c r="AB19" s="49"/>
    </row>
    <row r="20" spans="1:28" ht="42.75" x14ac:dyDescent="0.2">
      <c r="A20" s="92" t="s">
        <v>398</v>
      </c>
      <c r="B20" s="92" t="s">
        <v>397</v>
      </c>
      <c r="C20" s="92" t="s">
        <v>952</v>
      </c>
      <c r="D20" s="92" t="s">
        <v>425</v>
      </c>
      <c r="E20" s="92"/>
      <c r="F20" s="92" t="s">
        <v>426</v>
      </c>
      <c r="G20" s="92"/>
      <c r="H20" s="92" t="s">
        <v>25</v>
      </c>
      <c r="I20" s="92"/>
      <c r="J20" s="8"/>
      <c r="K20" s="8"/>
      <c r="L20" s="8"/>
      <c r="M20" s="8"/>
      <c r="N20" s="8"/>
      <c r="O20" s="8"/>
      <c r="P20" s="8"/>
      <c r="Q20" s="8"/>
      <c r="R20" s="8"/>
      <c r="S20" s="8"/>
      <c r="T20" s="8"/>
      <c r="U20" s="8"/>
      <c r="V20" s="8"/>
      <c r="W20" s="8"/>
      <c r="X20" s="8"/>
      <c r="Y20" s="49"/>
      <c r="Z20" s="49"/>
      <c r="AA20" s="49"/>
      <c r="AB20" s="49"/>
    </row>
    <row r="21" spans="1:28" ht="57" x14ac:dyDescent="0.2">
      <c r="A21" s="92" t="s">
        <v>400</v>
      </c>
      <c r="B21" s="92" t="s">
        <v>399</v>
      </c>
      <c r="C21" s="92" t="s">
        <v>953</v>
      </c>
      <c r="D21" s="92" t="s">
        <v>427</v>
      </c>
      <c r="E21" s="92"/>
      <c r="F21" s="92" t="s">
        <v>962</v>
      </c>
      <c r="G21" s="92"/>
      <c r="H21" s="92" t="s">
        <v>25</v>
      </c>
      <c r="I21" s="92"/>
      <c r="J21" s="8"/>
      <c r="K21" s="8"/>
      <c r="L21" s="8"/>
      <c r="M21" s="8"/>
      <c r="N21" s="8"/>
      <c r="O21" s="8"/>
      <c r="P21" s="8"/>
      <c r="Q21" s="8"/>
      <c r="R21" s="8"/>
      <c r="S21" s="8"/>
      <c r="T21" s="8"/>
      <c r="U21" s="8"/>
      <c r="V21" s="8"/>
      <c r="W21" s="8"/>
      <c r="X21" s="8"/>
      <c r="Y21" s="49"/>
      <c r="Z21" s="49"/>
      <c r="AA21" s="49"/>
      <c r="AB21" s="49"/>
    </row>
    <row r="22" spans="1:28" ht="57" x14ac:dyDescent="0.2">
      <c r="A22" s="92" t="s">
        <v>402</v>
      </c>
      <c r="B22" s="92" t="s">
        <v>401</v>
      </c>
      <c r="C22" s="92" t="s">
        <v>954</v>
      </c>
      <c r="D22" s="92" t="s">
        <v>428</v>
      </c>
      <c r="E22" s="92"/>
      <c r="F22" s="92" t="s">
        <v>963</v>
      </c>
      <c r="G22" s="92"/>
      <c r="H22" s="92" t="s">
        <v>25</v>
      </c>
      <c r="I22" s="92"/>
      <c r="J22" s="8"/>
      <c r="K22" s="8"/>
      <c r="L22" s="8"/>
      <c r="M22" s="8"/>
      <c r="N22" s="8"/>
      <c r="O22" s="8"/>
      <c r="P22" s="8"/>
      <c r="Q22" s="8"/>
      <c r="R22" s="8"/>
      <c r="S22" s="8"/>
      <c r="T22" s="8"/>
      <c r="U22" s="8"/>
      <c r="V22" s="8"/>
      <c r="W22" s="8"/>
      <c r="X22" s="8"/>
      <c r="Y22" s="49"/>
      <c r="Z22" s="49"/>
      <c r="AA22" s="49"/>
      <c r="AB22" s="49"/>
    </row>
    <row r="23" spans="1:28" ht="57" x14ac:dyDescent="0.2">
      <c r="A23" s="92" t="s">
        <v>404</v>
      </c>
      <c r="B23" s="92" t="s">
        <v>403</v>
      </c>
      <c r="C23" s="92" t="s">
        <v>955</v>
      </c>
      <c r="D23" s="92" t="s">
        <v>429</v>
      </c>
      <c r="E23" s="92"/>
      <c r="F23" s="92" t="s">
        <v>430</v>
      </c>
      <c r="G23" s="92"/>
      <c r="H23" s="92" t="s">
        <v>25</v>
      </c>
      <c r="I23" s="92"/>
      <c r="J23" s="8"/>
      <c r="K23" s="8"/>
      <c r="L23" s="8"/>
      <c r="M23" s="8"/>
      <c r="N23" s="8"/>
      <c r="O23" s="8"/>
      <c r="P23" s="8"/>
      <c r="Q23" s="8"/>
      <c r="R23" s="8"/>
      <c r="S23" s="8"/>
      <c r="T23" s="8"/>
      <c r="U23" s="8"/>
      <c r="V23" s="8"/>
      <c r="W23" s="8"/>
      <c r="X23" s="8"/>
      <c r="Y23" s="49"/>
      <c r="Z23" s="49"/>
      <c r="AA23" s="49"/>
      <c r="AB23" s="49"/>
    </row>
    <row r="24" spans="1:28" ht="42.75" x14ac:dyDescent="0.2">
      <c r="A24" s="92" t="s">
        <v>406</v>
      </c>
      <c r="B24" s="92" t="s">
        <v>405</v>
      </c>
      <c r="C24" s="92" t="s">
        <v>147</v>
      </c>
      <c r="D24" s="92" t="s">
        <v>431</v>
      </c>
      <c r="E24" s="92"/>
      <c r="F24" s="92" t="s">
        <v>432</v>
      </c>
      <c r="G24" s="92"/>
      <c r="H24" s="92" t="s">
        <v>25</v>
      </c>
      <c r="I24" s="92"/>
      <c r="J24" s="8"/>
      <c r="K24" s="8"/>
      <c r="L24" s="8"/>
      <c r="M24" s="8"/>
      <c r="N24" s="8"/>
      <c r="O24" s="8"/>
      <c r="P24" s="8"/>
      <c r="Q24" s="8"/>
      <c r="R24" s="8"/>
      <c r="S24" s="8"/>
      <c r="T24" s="8"/>
      <c r="U24" s="8"/>
      <c r="V24" s="8"/>
      <c r="W24" s="8"/>
      <c r="X24" s="8"/>
      <c r="Y24" s="49"/>
      <c r="Z24" s="49"/>
      <c r="AA24" s="49"/>
      <c r="AB24" s="49"/>
    </row>
    <row r="25" spans="1:28" ht="71.25" x14ac:dyDescent="0.2">
      <c r="A25" s="92" t="s">
        <v>408</v>
      </c>
      <c r="B25" s="92" t="s">
        <v>392</v>
      </c>
      <c r="C25" s="92" t="s">
        <v>956</v>
      </c>
      <c r="D25" s="92" t="s">
        <v>421</v>
      </c>
      <c r="E25" s="92"/>
      <c r="F25" s="92" t="s">
        <v>422</v>
      </c>
      <c r="G25" s="92"/>
      <c r="H25" s="92" t="s">
        <v>25</v>
      </c>
      <c r="I25" s="92"/>
      <c r="J25" s="8"/>
      <c r="K25" s="8"/>
      <c r="L25" s="8"/>
      <c r="M25" s="8"/>
      <c r="N25" s="8"/>
      <c r="O25" s="8"/>
      <c r="P25" s="8"/>
      <c r="Q25" s="8"/>
      <c r="R25" s="8"/>
      <c r="S25" s="8"/>
      <c r="T25" s="8"/>
      <c r="U25" s="8"/>
      <c r="V25" s="8"/>
      <c r="W25" s="8"/>
      <c r="X25" s="8"/>
      <c r="Y25" s="8"/>
      <c r="Z25" s="8"/>
      <c r="AA25" s="49"/>
      <c r="AB25" s="49"/>
    </row>
    <row r="26" spans="1:28" ht="42.75" x14ac:dyDescent="0.2">
      <c r="A26" s="92" t="s">
        <v>410</v>
      </c>
      <c r="B26" s="92" t="s">
        <v>407</v>
      </c>
      <c r="C26" s="92" t="s">
        <v>948</v>
      </c>
      <c r="D26" s="92" t="s">
        <v>433</v>
      </c>
      <c r="E26" s="92"/>
      <c r="F26" s="92" t="s">
        <v>434</v>
      </c>
      <c r="G26" s="92"/>
      <c r="H26" s="92" t="s">
        <v>25</v>
      </c>
      <c r="I26" s="92"/>
      <c r="J26" s="8"/>
      <c r="K26" s="8"/>
      <c r="L26" s="8"/>
      <c r="M26" s="8"/>
      <c r="N26" s="8"/>
      <c r="O26" s="8"/>
      <c r="P26" s="8"/>
      <c r="Q26" s="8"/>
      <c r="R26" s="8"/>
      <c r="S26" s="8"/>
      <c r="T26" s="8"/>
      <c r="U26" s="8"/>
      <c r="V26" s="8"/>
      <c r="W26" s="8"/>
      <c r="X26" s="8"/>
      <c r="Y26" s="49"/>
      <c r="Z26" s="49"/>
      <c r="AA26" s="49"/>
      <c r="AB26" s="49"/>
    </row>
    <row r="27" spans="1:28" ht="57" x14ac:dyDescent="0.2">
      <c r="A27" s="92" t="s">
        <v>442</v>
      </c>
      <c r="B27" s="92" t="s">
        <v>409</v>
      </c>
      <c r="C27" s="92" t="s">
        <v>957</v>
      </c>
      <c r="D27" s="92" t="s">
        <v>435</v>
      </c>
      <c r="E27" s="92"/>
      <c r="F27" s="92" t="s">
        <v>436</v>
      </c>
      <c r="G27" s="92"/>
      <c r="H27" s="92" t="s">
        <v>25</v>
      </c>
      <c r="I27" s="92"/>
      <c r="J27" s="8"/>
      <c r="K27" s="8"/>
      <c r="L27" s="8"/>
      <c r="M27" s="8"/>
      <c r="N27" s="8"/>
      <c r="O27" s="8"/>
      <c r="P27" s="8"/>
      <c r="Q27" s="8"/>
      <c r="R27" s="8"/>
      <c r="S27" s="8"/>
      <c r="T27" s="8"/>
      <c r="U27" s="8"/>
      <c r="V27" s="8"/>
      <c r="W27" s="8"/>
      <c r="X27" s="8"/>
      <c r="Y27" s="49"/>
      <c r="Z27" s="49"/>
      <c r="AA27" s="49"/>
      <c r="AB27" s="49"/>
    </row>
    <row r="28" spans="1:28" ht="42.75" x14ac:dyDescent="0.2">
      <c r="A28" s="92" t="s">
        <v>443</v>
      </c>
      <c r="B28" s="92" t="s">
        <v>964</v>
      </c>
      <c r="C28" s="92" t="s">
        <v>958</v>
      </c>
      <c r="D28" s="92" t="s">
        <v>437</v>
      </c>
      <c r="E28" s="92"/>
      <c r="F28" s="92" t="s">
        <v>438</v>
      </c>
      <c r="G28" s="92"/>
      <c r="H28" s="92" t="s">
        <v>25</v>
      </c>
      <c r="I28" s="92"/>
      <c r="J28" s="8"/>
      <c r="K28" s="8"/>
      <c r="L28" s="8"/>
      <c r="M28" s="8"/>
      <c r="N28" s="8"/>
      <c r="O28" s="8"/>
      <c r="P28" s="8"/>
      <c r="Q28" s="8"/>
      <c r="R28" s="8"/>
      <c r="S28" s="8"/>
      <c r="T28" s="8"/>
      <c r="U28" s="8"/>
      <c r="V28" s="8"/>
      <c r="W28" s="8"/>
      <c r="X28" s="8"/>
      <c r="Y28" s="49"/>
      <c r="Z28" s="49"/>
      <c r="AA28" s="49"/>
      <c r="AB28" s="49"/>
    </row>
    <row r="29" spans="1:28" ht="15" x14ac:dyDescent="0.2">
      <c r="A29" s="172" t="s">
        <v>160</v>
      </c>
      <c r="B29" s="173"/>
      <c r="C29" s="173"/>
      <c r="D29" s="173"/>
      <c r="E29" s="173"/>
      <c r="F29" s="173"/>
      <c r="G29" s="173"/>
      <c r="H29" s="177"/>
      <c r="I29" s="119"/>
      <c r="J29" s="8"/>
      <c r="K29" s="8"/>
      <c r="L29" s="8"/>
      <c r="M29" s="8"/>
      <c r="N29" s="8"/>
      <c r="O29" s="8"/>
      <c r="P29" s="8"/>
      <c r="Q29" s="8"/>
      <c r="R29" s="8"/>
      <c r="S29" s="8"/>
      <c r="T29" s="8"/>
      <c r="U29" s="8"/>
      <c r="V29" s="8"/>
      <c r="W29" s="8"/>
      <c r="X29" s="8"/>
      <c r="Y29" s="49"/>
      <c r="Z29" s="49"/>
      <c r="AA29" s="49"/>
      <c r="AB29" s="49"/>
    </row>
    <row r="30" spans="1:28" ht="85.5" x14ac:dyDescent="0.2">
      <c r="A30" s="92" t="s">
        <v>411</v>
      </c>
      <c r="B30" s="92" t="s">
        <v>412</v>
      </c>
      <c r="C30" s="92" t="s">
        <v>948</v>
      </c>
      <c r="D30" s="92" t="s">
        <v>439</v>
      </c>
      <c r="E30" s="92"/>
      <c r="F30" s="92" t="s">
        <v>440</v>
      </c>
      <c r="G30" s="92"/>
      <c r="H30" s="92" t="s">
        <v>28</v>
      </c>
      <c r="I30" s="92"/>
      <c r="J30" s="8"/>
      <c r="K30" s="8"/>
      <c r="L30" s="8"/>
      <c r="M30" s="8"/>
      <c r="N30" s="8"/>
      <c r="O30" s="8"/>
      <c r="P30" s="8"/>
      <c r="Q30" s="8"/>
      <c r="R30" s="8"/>
      <c r="S30" s="8"/>
      <c r="T30" s="8"/>
      <c r="U30" s="8"/>
      <c r="V30" s="8"/>
      <c r="W30" s="8"/>
      <c r="X30" s="8"/>
      <c r="Y30" s="49"/>
      <c r="Z30" s="49"/>
      <c r="AA30" s="49"/>
      <c r="AB30" s="49"/>
    </row>
    <row r="31" spans="1:28" ht="71.25" x14ac:dyDescent="0.2">
      <c r="A31" s="92" t="s">
        <v>413</v>
      </c>
      <c r="B31" s="92" t="s">
        <v>414</v>
      </c>
      <c r="C31" s="92" t="s">
        <v>959</v>
      </c>
      <c r="D31" s="92" t="s">
        <v>441</v>
      </c>
      <c r="E31" s="92"/>
      <c r="F31" s="92" t="s">
        <v>965</v>
      </c>
      <c r="G31" s="92"/>
      <c r="H31" s="92" t="s">
        <v>28</v>
      </c>
      <c r="I31" s="92"/>
      <c r="J31" s="8"/>
      <c r="K31" s="8"/>
      <c r="L31" s="8"/>
      <c r="M31" s="8"/>
      <c r="N31" s="8"/>
      <c r="O31" s="8"/>
      <c r="P31" s="8"/>
      <c r="Q31" s="8"/>
      <c r="R31" s="8"/>
      <c r="S31" s="8"/>
      <c r="T31" s="8"/>
      <c r="U31" s="8"/>
      <c r="V31" s="8"/>
      <c r="W31" s="8"/>
      <c r="X31" s="8"/>
      <c r="Y31" s="49"/>
      <c r="Z31" s="49"/>
      <c r="AA31" s="49"/>
      <c r="AB31" s="49"/>
    </row>
    <row r="32" spans="1:28" ht="14.25" x14ac:dyDescent="0.2">
      <c r="A32" s="8"/>
      <c r="B32" s="8"/>
      <c r="C32" s="8"/>
      <c r="D32" s="8"/>
      <c r="E32" s="8"/>
      <c r="F32" s="8"/>
      <c r="G32" s="8"/>
      <c r="H32" s="8"/>
      <c r="I32" s="8"/>
      <c r="J32" s="8"/>
      <c r="K32" s="8"/>
      <c r="L32" s="8"/>
      <c r="M32" s="8"/>
      <c r="N32" s="8"/>
      <c r="O32" s="8"/>
      <c r="P32" s="8"/>
      <c r="Q32" s="8"/>
      <c r="R32" s="8"/>
      <c r="S32" s="8"/>
      <c r="T32" s="8"/>
      <c r="U32" s="8"/>
      <c r="V32" s="8"/>
      <c r="W32" s="8"/>
      <c r="X32" s="8"/>
      <c r="Y32" s="49"/>
      <c r="Z32" s="49"/>
      <c r="AA32" s="49"/>
      <c r="AB32" s="49"/>
    </row>
    <row r="33" spans="1:28" ht="14.25" x14ac:dyDescent="0.2">
      <c r="A33" s="8"/>
      <c r="B33" s="8"/>
      <c r="C33" s="8"/>
      <c r="D33" s="8"/>
      <c r="E33" s="8"/>
      <c r="F33" s="8"/>
      <c r="G33" s="8"/>
      <c r="H33" s="8"/>
      <c r="I33" s="8"/>
      <c r="J33" s="8"/>
      <c r="K33" s="8"/>
      <c r="L33" s="8"/>
      <c r="M33" s="8"/>
      <c r="N33" s="8"/>
      <c r="O33" s="8"/>
      <c r="P33" s="8"/>
      <c r="Q33" s="8"/>
      <c r="R33" s="8"/>
      <c r="S33" s="8"/>
      <c r="T33" s="8"/>
      <c r="U33" s="8"/>
      <c r="V33" s="8"/>
      <c r="W33" s="8"/>
      <c r="X33" s="8"/>
      <c r="Y33" s="49"/>
      <c r="Z33" s="49"/>
      <c r="AA33" s="49"/>
      <c r="AB33" s="49"/>
    </row>
    <row r="34" spans="1:28" ht="14.25" x14ac:dyDescent="0.2">
      <c r="A34" s="8"/>
      <c r="B34" s="8"/>
      <c r="C34" s="8"/>
      <c r="D34" s="8"/>
      <c r="E34" s="8"/>
      <c r="F34" s="8"/>
      <c r="G34" s="8"/>
      <c r="H34" s="8"/>
      <c r="I34" s="8"/>
      <c r="J34" s="8"/>
      <c r="K34" s="8"/>
      <c r="L34" s="8"/>
      <c r="M34" s="8"/>
      <c r="N34" s="8"/>
      <c r="O34" s="8"/>
      <c r="P34" s="8"/>
      <c r="Q34" s="8"/>
      <c r="R34" s="8"/>
      <c r="S34" s="8"/>
      <c r="T34" s="8"/>
      <c r="U34" s="8"/>
      <c r="V34" s="8"/>
      <c r="W34" s="8"/>
      <c r="X34" s="8"/>
      <c r="Y34" s="49"/>
      <c r="Z34" s="49"/>
      <c r="AA34" s="49"/>
      <c r="AB34" s="49"/>
    </row>
    <row r="35" spans="1:28" ht="14.25" x14ac:dyDescent="0.2">
      <c r="A35" s="8"/>
      <c r="B35" s="8"/>
      <c r="C35" s="8"/>
      <c r="D35" s="8"/>
      <c r="E35" s="8"/>
      <c r="F35" s="8"/>
      <c r="G35" s="8"/>
      <c r="H35" s="8"/>
      <c r="I35" s="8"/>
      <c r="J35" s="8"/>
      <c r="K35" s="8"/>
      <c r="L35" s="8"/>
      <c r="M35" s="8"/>
      <c r="N35" s="8"/>
      <c r="O35" s="8"/>
      <c r="P35" s="8"/>
      <c r="Q35" s="8"/>
      <c r="R35" s="8"/>
      <c r="S35" s="8"/>
      <c r="T35" s="8"/>
      <c r="U35" s="8"/>
      <c r="V35" s="8"/>
      <c r="W35" s="8"/>
      <c r="X35" s="8"/>
      <c r="Y35" s="49"/>
      <c r="Z35" s="49"/>
      <c r="AA35" s="49"/>
      <c r="AB35" s="49"/>
    </row>
    <row r="36" spans="1:28" ht="14.25" x14ac:dyDescent="0.2">
      <c r="A36" s="8"/>
      <c r="B36" s="8"/>
      <c r="C36" s="8"/>
      <c r="D36" s="8"/>
      <c r="E36" s="8"/>
      <c r="F36" s="8"/>
      <c r="G36" s="8"/>
      <c r="H36" s="8"/>
      <c r="I36" s="8"/>
      <c r="J36" s="8"/>
      <c r="K36" s="8"/>
      <c r="L36" s="8"/>
      <c r="M36" s="8"/>
      <c r="N36" s="8"/>
      <c r="O36" s="8"/>
      <c r="P36" s="8"/>
      <c r="Q36" s="8"/>
      <c r="R36" s="8"/>
      <c r="S36" s="8"/>
      <c r="T36" s="8"/>
      <c r="U36" s="8"/>
      <c r="V36" s="8"/>
      <c r="W36" s="8"/>
      <c r="X36" s="8"/>
      <c r="Y36" s="49"/>
      <c r="Z36" s="49"/>
      <c r="AA36" s="49"/>
      <c r="AB36" s="49"/>
    </row>
    <row r="37" spans="1:28" ht="14.25" x14ac:dyDescent="0.2">
      <c r="A37" s="8"/>
      <c r="B37" s="8"/>
      <c r="C37" s="8"/>
      <c r="D37" s="8"/>
      <c r="E37" s="8"/>
      <c r="F37" s="8"/>
      <c r="G37" s="8"/>
      <c r="H37" s="8"/>
      <c r="I37" s="8"/>
      <c r="J37" s="8"/>
      <c r="K37" s="8"/>
      <c r="L37" s="8"/>
      <c r="M37" s="8"/>
      <c r="N37" s="8"/>
      <c r="O37" s="8"/>
      <c r="P37" s="8"/>
      <c r="Q37" s="8"/>
      <c r="R37" s="8"/>
      <c r="S37" s="8"/>
      <c r="T37" s="8"/>
      <c r="U37" s="8"/>
      <c r="V37" s="8"/>
      <c r="W37" s="8"/>
      <c r="X37" s="8"/>
      <c r="Y37" s="49"/>
      <c r="Z37" s="49"/>
      <c r="AA37" s="49"/>
      <c r="AB37" s="49"/>
    </row>
    <row r="38" spans="1:28" ht="14.25" x14ac:dyDescent="0.2">
      <c r="A38" s="8"/>
      <c r="B38" s="8"/>
      <c r="C38" s="8"/>
      <c r="D38" s="8"/>
      <c r="E38" s="8"/>
      <c r="F38" s="8"/>
      <c r="G38" s="8"/>
      <c r="H38" s="8"/>
      <c r="I38" s="8"/>
      <c r="J38" s="8"/>
      <c r="K38" s="8"/>
      <c r="L38" s="8"/>
      <c r="M38" s="8"/>
      <c r="N38" s="8"/>
      <c r="O38" s="8"/>
      <c r="P38" s="8"/>
      <c r="Q38" s="8"/>
      <c r="R38" s="8"/>
      <c r="S38" s="8"/>
      <c r="T38" s="8"/>
      <c r="U38" s="8"/>
      <c r="V38" s="8"/>
      <c r="W38" s="8"/>
      <c r="X38" s="8"/>
      <c r="Y38" s="49"/>
      <c r="Z38" s="49"/>
      <c r="AA38" s="49"/>
      <c r="AB38" s="49"/>
    </row>
    <row r="39" spans="1:28" ht="14.25" x14ac:dyDescent="0.2">
      <c r="A39" s="8"/>
      <c r="B39" s="8"/>
      <c r="C39" s="8"/>
      <c r="D39" s="8"/>
      <c r="E39" s="8"/>
      <c r="F39" s="8"/>
      <c r="G39" s="8"/>
      <c r="H39" s="8"/>
      <c r="I39" s="8"/>
      <c r="J39" s="8"/>
      <c r="K39" s="8"/>
      <c r="L39" s="8"/>
      <c r="M39" s="8"/>
      <c r="N39" s="8"/>
      <c r="O39" s="8"/>
      <c r="P39" s="8"/>
      <c r="Q39" s="8"/>
      <c r="R39" s="8"/>
      <c r="S39" s="8"/>
      <c r="T39" s="8"/>
      <c r="U39" s="8"/>
      <c r="V39" s="8"/>
      <c r="W39" s="8"/>
      <c r="X39" s="8"/>
      <c r="Y39" s="49"/>
      <c r="Z39" s="49"/>
      <c r="AA39" s="49"/>
      <c r="AB39" s="49"/>
    </row>
    <row r="40" spans="1:28" ht="14.25" x14ac:dyDescent="0.2">
      <c r="A40" s="8"/>
      <c r="B40" s="8"/>
      <c r="C40" s="8"/>
      <c r="D40" s="8"/>
      <c r="E40" s="8"/>
      <c r="F40" s="8"/>
      <c r="G40" s="8"/>
      <c r="H40" s="8"/>
      <c r="I40" s="8"/>
      <c r="J40" s="8"/>
      <c r="K40" s="8"/>
      <c r="L40" s="8"/>
      <c r="M40" s="8"/>
      <c r="N40" s="8"/>
      <c r="O40" s="8"/>
      <c r="P40" s="8"/>
      <c r="Q40" s="8"/>
      <c r="R40" s="8"/>
      <c r="S40" s="8"/>
      <c r="T40" s="8"/>
      <c r="U40" s="8"/>
      <c r="V40" s="8"/>
      <c r="W40" s="8"/>
      <c r="X40" s="8"/>
      <c r="Y40" s="49"/>
      <c r="Z40" s="49"/>
      <c r="AA40" s="49"/>
      <c r="AB40" s="49"/>
    </row>
    <row r="41" spans="1:28" ht="14.25" x14ac:dyDescent="0.2">
      <c r="A41" s="8"/>
      <c r="B41" s="8"/>
      <c r="C41" s="8"/>
      <c r="D41" s="8"/>
      <c r="E41" s="8"/>
      <c r="F41" s="8"/>
      <c r="G41" s="8"/>
      <c r="H41" s="8"/>
      <c r="I41" s="8"/>
      <c r="J41" s="8"/>
      <c r="K41" s="8"/>
      <c r="L41" s="8"/>
      <c r="M41" s="8"/>
      <c r="N41" s="8"/>
      <c r="O41" s="8"/>
      <c r="P41" s="8"/>
      <c r="Q41" s="8"/>
      <c r="R41" s="8"/>
      <c r="S41" s="8"/>
      <c r="T41" s="8"/>
      <c r="U41" s="8"/>
      <c r="V41" s="8"/>
      <c r="W41" s="8"/>
      <c r="X41" s="8"/>
      <c r="Y41" s="49"/>
      <c r="Z41" s="49"/>
      <c r="AA41" s="49"/>
      <c r="AB41" s="49"/>
    </row>
    <row r="42" spans="1:28" ht="14.25" x14ac:dyDescent="0.2">
      <c r="A42" s="8"/>
      <c r="B42" s="8"/>
      <c r="C42" s="8"/>
      <c r="D42" s="8"/>
      <c r="E42" s="8"/>
      <c r="F42" s="8"/>
      <c r="G42" s="8"/>
      <c r="H42" s="8"/>
      <c r="I42" s="8"/>
      <c r="J42" s="8"/>
      <c r="K42" s="8"/>
      <c r="L42" s="8"/>
      <c r="M42" s="8"/>
      <c r="N42" s="8"/>
      <c r="O42" s="8"/>
      <c r="P42" s="8"/>
      <c r="Q42" s="8"/>
      <c r="R42" s="8"/>
      <c r="S42" s="8"/>
      <c r="T42" s="8"/>
      <c r="U42" s="8"/>
      <c r="V42" s="8"/>
      <c r="W42" s="8"/>
      <c r="X42" s="8"/>
      <c r="Y42" s="49"/>
      <c r="Z42" s="49"/>
      <c r="AA42" s="49"/>
      <c r="AB42" s="49"/>
    </row>
    <row r="43" spans="1:28" ht="14.25" x14ac:dyDescent="0.2">
      <c r="A43" s="8"/>
      <c r="B43" s="8"/>
      <c r="C43" s="8"/>
      <c r="D43" s="8"/>
      <c r="E43" s="8"/>
      <c r="F43" s="8"/>
      <c r="G43" s="8"/>
      <c r="H43" s="8"/>
      <c r="I43" s="8"/>
      <c r="J43" s="8"/>
      <c r="K43" s="8"/>
      <c r="L43" s="8"/>
      <c r="M43" s="8"/>
      <c r="N43" s="8"/>
      <c r="O43" s="8"/>
      <c r="P43" s="8"/>
      <c r="Q43" s="8"/>
      <c r="R43" s="8"/>
      <c r="S43" s="8"/>
      <c r="T43" s="8"/>
      <c r="U43" s="8"/>
      <c r="V43" s="8"/>
      <c r="W43" s="8"/>
      <c r="X43" s="8"/>
      <c r="Y43" s="49"/>
      <c r="Z43" s="49"/>
      <c r="AA43" s="49"/>
      <c r="AB43" s="49"/>
    </row>
    <row r="44" spans="1:28" ht="14.25" x14ac:dyDescent="0.2">
      <c r="A44" s="8"/>
      <c r="B44" s="8"/>
      <c r="C44" s="8"/>
      <c r="D44" s="8"/>
      <c r="E44" s="8"/>
      <c r="F44" s="8"/>
      <c r="G44" s="8"/>
      <c r="H44" s="8"/>
      <c r="I44" s="8"/>
      <c r="J44" s="8"/>
      <c r="K44" s="8"/>
      <c r="L44" s="8"/>
      <c r="M44" s="8"/>
      <c r="N44" s="8"/>
      <c r="O44" s="8"/>
      <c r="P44" s="8"/>
      <c r="Q44" s="8"/>
      <c r="R44" s="8"/>
      <c r="S44" s="8"/>
      <c r="T44" s="8"/>
      <c r="U44" s="8"/>
      <c r="V44" s="8"/>
      <c r="W44" s="8"/>
      <c r="X44" s="8"/>
      <c r="Y44" s="49"/>
      <c r="Z44" s="49"/>
      <c r="AA44" s="49"/>
      <c r="AB44" s="49"/>
    </row>
    <row r="45" spans="1:28" ht="14.25"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4.25"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49"/>
      <c r="Z188" s="49"/>
      <c r="AA188" s="49"/>
      <c r="AB188" s="49"/>
    </row>
    <row r="189" spans="1:28" ht="14.25"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49"/>
      <c r="Z189" s="49"/>
      <c r="AA189" s="49"/>
      <c r="AB189" s="49"/>
    </row>
    <row r="190" spans="1:28" ht="14.25"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49"/>
      <c r="Z190" s="49"/>
      <c r="AA190" s="49"/>
      <c r="AB190" s="49"/>
    </row>
    <row r="191" spans="1:28" ht="14.25"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49"/>
      <c r="Z191" s="49"/>
      <c r="AA191" s="49"/>
      <c r="AB191" s="49"/>
    </row>
    <row r="192" spans="1:28" ht="14.25"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49"/>
      <c r="Z192" s="49"/>
      <c r="AA192" s="49"/>
      <c r="AB192" s="49"/>
    </row>
    <row r="193" spans="1:28" ht="14.25"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49"/>
      <c r="Z193" s="49"/>
      <c r="AA193" s="49"/>
      <c r="AB193" s="49"/>
    </row>
    <row r="194" spans="1:28" ht="14.25"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49"/>
      <c r="Z194" s="49"/>
      <c r="AA194" s="49"/>
      <c r="AB194" s="49"/>
    </row>
    <row r="195" spans="1:28" ht="14.25"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49"/>
      <c r="Z195" s="49"/>
      <c r="AA195" s="49"/>
      <c r="AB195" s="49"/>
    </row>
    <row r="196" spans="1:28" ht="14.25"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49"/>
      <c r="Z196" s="49"/>
      <c r="AA196" s="49"/>
      <c r="AB196" s="49"/>
    </row>
    <row r="197" spans="1:28" ht="14.25" x14ac:dyDescent="0.2">
      <c r="A197" s="8"/>
      <c r="B197" s="8"/>
      <c r="C197" s="8"/>
      <c r="D197" s="8"/>
      <c r="E197" s="8"/>
      <c r="F197" s="8"/>
      <c r="G197" s="8"/>
      <c r="H197" s="8"/>
      <c r="I197" s="8"/>
      <c r="J197" s="49"/>
      <c r="K197" s="49"/>
      <c r="L197" s="49"/>
      <c r="M197" s="49"/>
      <c r="N197" s="49"/>
      <c r="O197" s="49"/>
      <c r="P197" s="49"/>
      <c r="Q197" s="49"/>
      <c r="R197" s="49"/>
      <c r="S197" s="49"/>
      <c r="T197" s="49"/>
      <c r="U197" s="49"/>
      <c r="V197" s="49"/>
      <c r="W197" s="49"/>
      <c r="X197" s="49"/>
      <c r="Y197" s="49"/>
      <c r="Z197" s="49"/>
      <c r="AA197" s="49"/>
      <c r="AB197" s="49"/>
    </row>
    <row r="198" spans="1:28" ht="14.25" x14ac:dyDescent="0.2">
      <c r="A198" s="8"/>
      <c r="B198" s="8"/>
      <c r="C198" s="8"/>
      <c r="D198" s="8"/>
      <c r="E198" s="8"/>
      <c r="F198" s="8"/>
      <c r="G198" s="8"/>
      <c r="H198" s="8"/>
      <c r="I198" s="8"/>
      <c r="J198" s="49"/>
      <c r="K198" s="49"/>
      <c r="L198" s="49"/>
      <c r="M198" s="49"/>
      <c r="N198" s="49"/>
      <c r="O198" s="49"/>
      <c r="P198" s="49"/>
      <c r="Q198" s="49"/>
      <c r="R198" s="49"/>
      <c r="S198" s="49"/>
      <c r="T198" s="49"/>
      <c r="U198" s="49"/>
      <c r="V198" s="49"/>
      <c r="W198" s="49"/>
      <c r="X198" s="49"/>
      <c r="Y198" s="49"/>
      <c r="Z198" s="49"/>
      <c r="AA198" s="49"/>
      <c r="AB198" s="49"/>
    </row>
    <row r="199" spans="1:28" ht="14.25" x14ac:dyDescent="0.2">
      <c r="A199" s="8"/>
      <c r="B199" s="8"/>
      <c r="C199" s="8"/>
      <c r="D199" s="8"/>
      <c r="E199" s="8"/>
      <c r="F199" s="8"/>
      <c r="G199" s="8"/>
      <c r="H199" s="8"/>
      <c r="I199" s="8"/>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8"/>
      <c r="B200" s="8"/>
      <c r="C200" s="8"/>
      <c r="D200" s="8"/>
      <c r="E200" s="8"/>
      <c r="F200" s="8"/>
      <c r="G200" s="8"/>
      <c r="H200" s="8"/>
      <c r="I200" s="8"/>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8"/>
      <c r="B201" s="8"/>
      <c r="C201" s="8"/>
      <c r="D201" s="8"/>
      <c r="E201" s="8"/>
      <c r="F201" s="8"/>
      <c r="G201" s="8"/>
      <c r="H201" s="8"/>
      <c r="I201" s="8"/>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8"/>
      <c r="B202" s="8"/>
      <c r="C202" s="8"/>
      <c r="D202" s="8"/>
      <c r="E202" s="8"/>
      <c r="F202" s="8"/>
      <c r="G202" s="8"/>
      <c r="H202" s="8"/>
      <c r="I202" s="8"/>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8"/>
      <c r="B203" s="8"/>
      <c r="C203" s="8"/>
      <c r="D203" s="8"/>
      <c r="E203" s="8"/>
      <c r="F203" s="8"/>
      <c r="G203" s="8"/>
      <c r="H203" s="8"/>
      <c r="I203" s="8"/>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8"/>
      <c r="B204" s="8"/>
      <c r="C204" s="8"/>
      <c r="D204" s="8"/>
      <c r="E204" s="8"/>
      <c r="F204" s="8"/>
      <c r="G204" s="8"/>
      <c r="H204" s="8"/>
      <c r="I204" s="8"/>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8"/>
      <c r="B205" s="8"/>
      <c r="C205" s="8"/>
      <c r="D205" s="8"/>
      <c r="E205" s="8"/>
      <c r="F205" s="8"/>
      <c r="G205" s="8"/>
      <c r="H205" s="8"/>
      <c r="I205" s="8"/>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8"/>
      <c r="B206" s="8"/>
      <c r="C206" s="8"/>
      <c r="D206" s="8"/>
      <c r="E206" s="8"/>
      <c r="F206" s="8"/>
      <c r="G206" s="8"/>
      <c r="H206" s="8"/>
      <c r="I206" s="8"/>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8"/>
      <c r="B207" s="8"/>
      <c r="C207" s="8"/>
      <c r="D207" s="8"/>
      <c r="E207" s="8"/>
      <c r="F207" s="8"/>
      <c r="G207" s="8"/>
      <c r="H207" s="8"/>
      <c r="I207" s="8"/>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4.25"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spans="1:28" ht="14.25"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spans="1:28" ht="14.25" x14ac:dyDescent="0.2">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spans="1:28" ht="14.25" x14ac:dyDescent="0.2">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spans="1:28" ht="14.25" x14ac:dyDescent="0.2">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spans="1:28" ht="14.25" x14ac:dyDescent="0.2">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spans="1:28" ht="14.25" x14ac:dyDescent="0.2">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row>
    <row r="972" spans="1:28" ht="14.25" x14ac:dyDescent="0.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row>
    <row r="973" spans="1:28" ht="14.25" x14ac:dyDescent="0.2">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row>
    <row r="974" spans="1:28" ht="14.25" x14ac:dyDescent="0.2">
      <c r="A974" s="49"/>
      <c r="B974" s="49"/>
      <c r="C974" s="49"/>
      <c r="D974" s="49"/>
      <c r="E974" s="49"/>
      <c r="F974" s="49"/>
      <c r="G974" s="49"/>
      <c r="H974" s="49"/>
      <c r="I974" s="49"/>
    </row>
    <row r="975" spans="1:28" ht="14.25" x14ac:dyDescent="0.2">
      <c r="A975" s="49"/>
      <c r="B975" s="49"/>
      <c r="C975" s="49"/>
      <c r="D975" s="49"/>
      <c r="E975" s="49"/>
      <c r="F975" s="49"/>
      <c r="G975" s="49"/>
      <c r="H975" s="49"/>
      <c r="I975" s="49"/>
    </row>
    <row r="976" spans="1:28" ht="14.25" x14ac:dyDescent="0.2">
      <c r="A976" s="49"/>
      <c r="B976" s="49"/>
      <c r="C976" s="49"/>
      <c r="D976" s="49"/>
      <c r="E976" s="49"/>
      <c r="F976" s="49"/>
      <c r="G976" s="49"/>
      <c r="H976" s="49"/>
      <c r="I976" s="49"/>
    </row>
    <row r="977" spans="1:9" ht="14.25" x14ac:dyDescent="0.2">
      <c r="A977" s="49"/>
      <c r="B977" s="49"/>
      <c r="C977" s="49"/>
      <c r="D977" s="49"/>
      <c r="E977" s="49"/>
      <c r="F977" s="49"/>
      <c r="G977" s="49"/>
      <c r="H977" s="49"/>
      <c r="I977" s="49"/>
    </row>
    <row r="978" spans="1:9" ht="14.25" x14ac:dyDescent="0.2">
      <c r="A978" s="49"/>
      <c r="B978" s="49"/>
      <c r="C978" s="49"/>
      <c r="D978" s="49"/>
      <c r="E978" s="49"/>
      <c r="F978" s="49"/>
      <c r="G978" s="49"/>
      <c r="H978" s="49"/>
      <c r="I978" s="49"/>
    </row>
    <row r="979" spans="1:9" ht="14.25" x14ac:dyDescent="0.2">
      <c r="A979" s="49"/>
      <c r="B979" s="49"/>
      <c r="C979" s="49"/>
      <c r="D979" s="49"/>
      <c r="E979" s="49"/>
      <c r="F979" s="49"/>
      <c r="G979" s="49"/>
      <c r="H979" s="49"/>
      <c r="I979" s="49"/>
    </row>
    <row r="980" spans="1:9" ht="14.25" x14ac:dyDescent="0.2">
      <c r="A980" s="49"/>
      <c r="B980" s="49"/>
      <c r="C980" s="49"/>
      <c r="D980" s="49"/>
      <c r="E980" s="49"/>
      <c r="F980" s="49"/>
      <c r="G980" s="49"/>
      <c r="H980" s="49"/>
      <c r="I980" s="49"/>
    </row>
    <row r="981" spans="1:9" ht="14.25" x14ac:dyDescent="0.2">
      <c r="A981" s="49"/>
      <c r="B981" s="49"/>
      <c r="C981" s="49"/>
      <c r="D981" s="49"/>
      <c r="E981" s="49"/>
      <c r="F981" s="49"/>
      <c r="G981" s="49"/>
      <c r="H981" s="49"/>
      <c r="I981" s="49"/>
    </row>
    <row r="982" spans="1:9" ht="14.25" x14ac:dyDescent="0.2">
      <c r="A982" s="49"/>
      <c r="B982" s="49"/>
      <c r="C982" s="49"/>
      <c r="D982" s="49"/>
      <c r="E982" s="49"/>
      <c r="F982" s="49"/>
      <c r="G982" s="49"/>
      <c r="H982" s="49"/>
      <c r="I982" s="49"/>
    </row>
    <row r="983" spans="1:9" ht="14.25" x14ac:dyDescent="0.2">
      <c r="A983" s="49"/>
      <c r="B983" s="49"/>
      <c r="C983" s="49"/>
      <c r="D983" s="49"/>
      <c r="E983" s="49"/>
      <c r="F983" s="49"/>
      <c r="G983" s="49"/>
      <c r="H983" s="49"/>
      <c r="I983" s="49"/>
    </row>
    <row r="984" spans="1:9" ht="14.25" x14ac:dyDescent="0.2">
      <c r="A984" s="49"/>
      <c r="B984" s="49"/>
      <c r="C984" s="49"/>
      <c r="D984" s="49"/>
      <c r="E984" s="49"/>
      <c r="F984" s="49"/>
      <c r="G984" s="49"/>
      <c r="H984" s="49"/>
      <c r="I984" s="49"/>
    </row>
  </sheetData>
  <dataConsolidate/>
  <mergeCells count="3">
    <mergeCell ref="A9:H9"/>
    <mergeCell ref="A18:H18"/>
    <mergeCell ref="A29:H29"/>
  </mergeCells>
  <phoneticPr fontId="28" type="noConversion"/>
  <dataValidations count="2">
    <dataValidation type="list" allowBlank="1" showInputMessage="1" showErrorMessage="1" sqref="H18" xr:uid="{FC1A3B7E-0F74-45D7-92AA-C855D26B01CD}">
      <formula1>"'Pass','Fail','Untest"",'N/A'"</formula1>
    </dataValidation>
    <dataValidation type="list" allowBlank="1" showInputMessage="1" showErrorMessage="1" sqref="H30:H31 H10:H17 H19:H28" xr:uid="{819CFEA8-4F22-4F3E-BDFC-996F12E664F7}">
      <formula1>"'Pass,'Fail,'Untest,'N/A"</formula1>
    </dataValidation>
  </dataValidations>
  <hyperlinks>
    <hyperlink ref="B2" location="null!A1" display="Back to TestReport" xr:uid="{6D471C45-705D-4E79-A3F4-5913937B1368}"/>
  </hyperlink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7727-B6B9-4B4F-B3EB-61C237524F21}">
  <sheetPr>
    <outlinePr summaryBelow="0" summaryRight="0"/>
  </sheetPr>
  <dimension ref="A1:AB981"/>
  <sheetViews>
    <sheetView zoomScale="85" zoomScaleNormal="85" workbookViewId="0">
      <pane xSplit="1" ySplit="8" topLeftCell="F24" activePane="bottomRight" state="frozen"/>
      <selection pane="topRight" activeCell="B1" sqref="B1"/>
      <selection pane="bottomLeft" activeCell="A9" sqref="A9"/>
      <selection pane="bottomRight" activeCell="H25" sqref="H25:H30"/>
    </sheetView>
  </sheetViews>
  <sheetFormatPr defaultColWidth="12.625" defaultRowHeight="13.5" x14ac:dyDescent="0.15"/>
  <cols>
    <col min="1" max="1" width="12.75" customWidth="1"/>
    <col min="2" max="2" width="23.875" bestFit="1" customWidth="1"/>
    <col min="3" max="3" width="22.75" customWidth="1"/>
    <col min="4" max="4" width="20.25" customWidth="1"/>
    <col min="5" max="5" width="21.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COUNTIF($A$10:$A$847, "TC*")</f>
        <v>22</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60</v>
      </c>
      <c r="D3" s="50"/>
      <c r="E3" s="50"/>
      <c r="F3" s="50"/>
      <c r="G3" s="134" t="s">
        <v>25</v>
      </c>
      <c r="H3" s="64">
        <f>(COUNTIF(H10:H33,"Pass"))</f>
        <v>9</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(COUNTIF(H10:H31,"Fail"))</f>
        <v>0</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(COUNTIF(H10:H45,"Untest"))</f>
        <v>13</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40.91%</v>
      </c>
      <c r="D6" s="50"/>
      <c r="E6" s="50"/>
      <c r="F6" s="50"/>
      <c r="G6" s="84" t="s">
        <v>30</v>
      </c>
      <c r="H6" s="85">
        <f>(COUNTIF(H10:H31,"N/A"))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20" t="s">
        <v>31</v>
      </c>
      <c r="B8" s="120" t="s">
        <v>32</v>
      </c>
      <c r="C8" s="121" t="s">
        <v>21</v>
      </c>
      <c r="D8" s="120" t="s">
        <v>14</v>
      </c>
      <c r="E8" s="121" t="s">
        <v>33</v>
      </c>
      <c r="F8" s="120" t="s">
        <v>34</v>
      </c>
      <c r="G8" s="122" t="s">
        <v>35</v>
      </c>
      <c r="H8" s="123" t="s">
        <v>64</v>
      </c>
      <c r="I8" s="121" t="s">
        <v>36</v>
      </c>
      <c r="J8" s="58"/>
      <c r="K8" s="58"/>
      <c r="L8" s="58"/>
      <c r="M8" s="58"/>
      <c r="N8" s="58"/>
      <c r="O8" s="58"/>
      <c r="P8" s="58"/>
      <c r="Q8" s="58"/>
      <c r="R8" s="58"/>
      <c r="S8" s="58"/>
      <c r="T8" s="58"/>
      <c r="U8" s="58"/>
      <c r="V8" s="58"/>
      <c r="W8" s="58"/>
      <c r="X8" s="58"/>
      <c r="Y8" s="58"/>
      <c r="Z8" s="58"/>
      <c r="AA8" s="49"/>
      <c r="AB8" s="49"/>
    </row>
    <row r="9" spans="1:28" ht="15" customHeight="1" x14ac:dyDescent="0.2">
      <c r="A9" s="178" t="s">
        <v>85</v>
      </c>
      <c r="B9" s="178"/>
      <c r="C9" s="178"/>
      <c r="D9" s="178"/>
      <c r="E9" s="178"/>
      <c r="F9" s="178"/>
      <c r="G9" s="178"/>
      <c r="H9" s="179"/>
      <c r="I9" s="125"/>
      <c r="J9" s="86"/>
      <c r="K9" s="86"/>
      <c r="L9" s="86"/>
      <c r="M9" s="86"/>
      <c r="N9" s="86"/>
      <c r="O9" s="86"/>
      <c r="P9" s="86"/>
      <c r="Q9" s="86"/>
      <c r="R9" s="86"/>
      <c r="S9" s="86"/>
      <c r="T9" s="86"/>
      <c r="U9" s="86"/>
      <c r="V9" s="86"/>
      <c r="W9" s="86"/>
      <c r="X9" s="86"/>
      <c r="Y9" s="86"/>
      <c r="Z9" s="86"/>
      <c r="AA9" s="49"/>
      <c r="AB9" s="49"/>
    </row>
    <row r="10" spans="1:28" ht="114" x14ac:dyDescent="0.2">
      <c r="A10" s="92" t="s">
        <v>509</v>
      </c>
      <c r="B10" s="92" t="s">
        <v>510</v>
      </c>
      <c r="C10" s="92" t="s">
        <v>979</v>
      </c>
      <c r="D10" s="92" t="s">
        <v>720</v>
      </c>
      <c r="E10" s="92" t="s">
        <v>1002</v>
      </c>
      <c r="F10" s="92" t="s">
        <v>547</v>
      </c>
      <c r="G10" s="92"/>
      <c r="H10" s="92" t="s">
        <v>25</v>
      </c>
      <c r="I10" s="92"/>
      <c r="J10" s="8"/>
      <c r="K10" s="8"/>
      <c r="L10" s="8"/>
      <c r="M10" s="8"/>
      <c r="N10" s="8"/>
      <c r="O10" s="8"/>
      <c r="P10" s="8"/>
      <c r="Q10" s="8"/>
      <c r="R10" s="8"/>
      <c r="S10" s="8"/>
      <c r="T10" s="8"/>
      <c r="U10" s="8"/>
      <c r="V10" s="8"/>
      <c r="W10" s="8"/>
      <c r="X10" s="8"/>
      <c r="Y10" s="8"/>
      <c r="Z10" s="8"/>
      <c r="AA10" s="49"/>
      <c r="AB10" s="49"/>
    </row>
    <row r="11" spans="1:28" ht="99.75" x14ac:dyDescent="0.2">
      <c r="A11" s="92" t="s">
        <v>511</v>
      </c>
      <c r="B11" s="92" t="s">
        <v>512</v>
      </c>
      <c r="C11" s="92" t="s">
        <v>980</v>
      </c>
      <c r="D11" s="92" t="s">
        <v>721</v>
      </c>
      <c r="E11" s="92" t="s">
        <v>548</v>
      </c>
      <c r="F11" s="92" t="s">
        <v>549</v>
      </c>
      <c r="G11" s="92"/>
      <c r="H11" s="92" t="s">
        <v>25</v>
      </c>
      <c r="I11" s="92"/>
      <c r="J11" s="8"/>
      <c r="K11" s="8"/>
      <c r="L11" s="8"/>
      <c r="M11" s="8"/>
      <c r="N11" s="8"/>
      <c r="O11" s="8"/>
      <c r="P11" s="8"/>
      <c r="Q11" s="8"/>
      <c r="R11" s="8"/>
      <c r="S11" s="8"/>
      <c r="T11" s="8"/>
      <c r="U11" s="8"/>
      <c r="V11" s="8"/>
      <c r="W11" s="8"/>
      <c r="X11" s="8"/>
      <c r="Y11" s="49"/>
      <c r="Z11" s="49"/>
      <c r="AA11" s="49"/>
      <c r="AB11" s="49"/>
    </row>
    <row r="12" spans="1:28" ht="71.25" x14ac:dyDescent="0.2">
      <c r="A12" s="92" t="s">
        <v>513</v>
      </c>
      <c r="B12" s="92" t="s">
        <v>970</v>
      </c>
      <c r="C12" s="92" t="s">
        <v>981</v>
      </c>
      <c r="D12" s="92" t="s">
        <v>722</v>
      </c>
      <c r="E12" s="92" t="s">
        <v>550</v>
      </c>
      <c r="F12" s="92" t="s">
        <v>551</v>
      </c>
      <c r="G12" s="92"/>
      <c r="H12" s="92" t="s">
        <v>28</v>
      </c>
      <c r="I12" s="92"/>
      <c r="J12" s="8"/>
      <c r="K12" s="8"/>
      <c r="L12" s="8"/>
      <c r="M12" s="8"/>
      <c r="N12" s="8"/>
      <c r="O12" s="8"/>
      <c r="P12" s="8"/>
      <c r="Q12" s="8"/>
      <c r="R12" s="8"/>
      <c r="S12" s="8"/>
      <c r="T12" s="8"/>
      <c r="U12" s="8"/>
      <c r="V12" s="8"/>
      <c r="W12" s="8"/>
      <c r="X12" s="8"/>
      <c r="Y12" s="49"/>
      <c r="Z12" s="49"/>
      <c r="AA12" s="49"/>
      <c r="AB12" s="49"/>
    </row>
    <row r="13" spans="1:28" ht="71.25" x14ac:dyDescent="0.2">
      <c r="A13" s="92" t="s">
        <v>514</v>
      </c>
      <c r="B13" s="92" t="s">
        <v>971</v>
      </c>
      <c r="C13" s="92" t="s">
        <v>981</v>
      </c>
      <c r="D13" s="92" t="s">
        <v>723</v>
      </c>
      <c r="E13" s="92" t="s">
        <v>552</v>
      </c>
      <c r="F13" s="92" t="s">
        <v>553</v>
      </c>
      <c r="G13" s="92"/>
      <c r="H13" s="92" t="s">
        <v>28</v>
      </c>
      <c r="I13" s="92"/>
      <c r="J13" s="8"/>
      <c r="K13" s="8"/>
      <c r="L13" s="8"/>
      <c r="M13" s="8"/>
      <c r="N13" s="8"/>
      <c r="O13" s="8"/>
      <c r="P13" s="8"/>
      <c r="Q13" s="8"/>
      <c r="R13" s="8"/>
      <c r="S13" s="8"/>
      <c r="T13" s="8"/>
      <c r="U13" s="8"/>
      <c r="V13" s="8"/>
      <c r="W13" s="8"/>
      <c r="X13" s="8"/>
      <c r="Y13" s="8"/>
      <c r="Z13" s="8"/>
      <c r="AA13" s="49"/>
      <c r="AB13" s="49"/>
    </row>
    <row r="14" spans="1:28" ht="71.25" x14ac:dyDescent="0.2">
      <c r="A14" s="92" t="s">
        <v>515</v>
      </c>
      <c r="B14" s="92" t="s">
        <v>972</v>
      </c>
      <c r="C14" s="92" t="s">
        <v>981</v>
      </c>
      <c r="D14" s="92" t="s">
        <v>724</v>
      </c>
      <c r="E14" s="92" t="s">
        <v>554</v>
      </c>
      <c r="F14" s="92" t="s">
        <v>555</v>
      </c>
      <c r="G14" s="92"/>
      <c r="H14" s="92" t="s">
        <v>28</v>
      </c>
      <c r="I14" s="92"/>
      <c r="J14" s="73"/>
      <c r="K14" s="73"/>
      <c r="L14" s="73"/>
      <c r="M14" s="73"/>
      <c r="N14" s="73"/>
      <c r="O14" s="73"/>
      <c r="P14" s="73"/>
      <c r="Q14" s="73"/>
      <c r="R14" s="73"/>
      <c r="S14" s="73"/>
      <c r="T14" s="73"/>
      <c r="U14" s="73"/>
      <c r="V14" s="73"/>
      <c r="W14" s="73"/>
      <c r="X14" s="73"/>
      <c r="Y14" s="49"/>
      <c r="Z14" s="49"/>
      <c r="AA14" s="49"/>
      <c r="AB14" s="49"/>
    </row>
    <row r="15" spans="1:28" ht="71.25" x14ac:dyDescent="0.2">
      <c r="A15" s="92" t="s">
        <v>516</v>
      </c>
      <c r="B15" s="92" t="s">
        <v>973</v>
      </c>
      <c r="C15" s="92" t="s">
        <v>981</v>
      </c>
      <c r="D15" s="92" t="s">
        <v>556</v>
      </c>
      <c r="E15" s="92" t="s">
        <v>557</v>
      </c>
      <c r="F15" s="92" t="s">
        <v>558</v>
      </c>
      <c r="G15" s="92"/>
      <c r="H15" s="92" t="s">
        <v>28</v>
      </c>
      <c r="I15" s="92"/>
      <c r="J15" s="73"/>
      <c r="K15" s="73"/>
      <c r="L15" s="73"/>
      <c r="M15" s="73"/>
      <c r="N15" s="73"/>
      <c r="O15" s="73"/>
      <c r="P15" s="73"/>
      <c r="Q15" s="73"/>
      <c r="R15" s="73"/>
      <c r="S15" s="73"/>
      <c r="T15" s="73"/>
      <c r="U15" s="73"/>
      <c r="V15" s="73"/>
      <c r="W15" s="73"/>
      <c r="X15" s="73"/>
      <c r="Y15" s="49"/>
      <c r="Z15" s="49"/>
      <c r="AA15" s="49"/>
      <c r="AB15" s="49"/>
    </row>
    <row r="16" spans="1:28" ht="42.75" x14ac:dyDescent="0.2">
      <c r="A16" s="92" t="s">
        <v>517</v>
      </c>
      <c r="B16" s="92" t="s">
        <v>974</v>
      </c>
      <c r="C16" s="92" t="s">
        <v>981</v>
      </c>
      <c r="D16" s="92" t="s">
        <v>559</v>
      </c>
      <c r="E16" s="92" t="s">
        <v>560</v>
      </c>
      <c r="F16" s="92" t="s">
        <v>558</v>
      </c>
      <c r="G16" s="92"/>
      <c r="H16" s="92" t="s">
        <v>28</v>
      </c>
      <c r="I16" s="92"/>
      <c r="J16" s="8"/>
      <c r="K16" s="8"/>
      <c r="L16" s="8"/>
      <c r="M16" s="8"/>
      <c r="N16" s="8"/>
      <c r="O16" s="8"/>
      <c r="P16" s="8"/>
      <c r="Q16" s="8"/>
      <c r="R16" s="8"/>
      <c r="S16" s="8"/>
      <c r="T16" s="8"/>
      <c r="U16" s="8"/>
      <c r="V16" s="8"/>
      <c r="W16" s="8"/>
      <c r="X16" s="8"/>
      <c r="Y16" s="49"/>
      <c r="Z16" s="49"/>
      <c r="AA16" s="49"/>
      <c r="AB16" s="49"/>
    </row>
    <row r="17" spans="1:28" ht="57" x14ac:dyDescent="0.2">
      <c r="A17" s="92" t="s">
        <v>518</v>
      </c>
      <c r="B17" s="92" t="s">
        <v>969</v>
      </c>
      <c r="C17" s="92" t="s">
        <v>982</v>
      </c>
      <c r="D17" s="92" t="s">
        <v>983</v>
      </c>
      <c r="E17" s="92" t="s">
        <v>561</v>
      </c>
      <c r="F17" s="92" t="s">
        <v>562</v>
      </c>
      <c r="G17" s="92"/>
      <c r="H17" s="92" t="s">
        <v>28</v>
      </c>
      <c r="I17" s="92"/>
      <c r="J17" s="8"/>
      <c r="K17" s="8"/>
      <c r="L17" s="8"/>
      <c r="M17" s="8"/>
      <c r="N17" s="8"/>
      <c r="O17" s="8"/>
      <c r="P17" s="8"/>
      <c r="Q17" s="8"/>
      <c r="R17" s="8"/>
      <c r="S17" s="8"/>
      <c r="T17" s="8"/>
      <c r="U17" s="8"/>
      <c r="V17" s="8"/>
      <c r="W17" s="8"/>
      <c r="X17" s="8"/>
      <c r="Y17" s="49"/>
      <c r="Z17" s="49"/>
      <c r="AA17" s="49"/>
      <c r="AB17" s="49"/>
    </row>
    <row r="18" spans="1:28" ht="71.25" x14ac:dyDescent="0.2">
      <c r="A18" s="92" t="s">
        <v>519</v>
      </c>
      <c r="B18" s="92" t="s">
        <v>522</v>
      </c>
      <c r="C18" s="92" t="s">
        <v>563</v>
      </c>
      <c r="D18" s="92" t="s">
        <v>984</v>
      </c>
      <c r="E18" s="92"/>
      <c r="F18" s="92" t="s">
        <v>553</v>
      </c>
      <c r="G18" s="92"/>
      <c r="H18" s="92" t="s">
        <v>28</v>
      </c>
      <c r="I18" s="92"/>
      <c r="J18" s="8"/>
      <c r="K18" s="8"/>
      <c r="L18" s="8"/>
      <c r="M18" s="8"/>
      <c r="N18" s="8"/>
      <c r="O18" s="8"/>
      <c r="P18" s="8"/>
      <c r="Q18" s="8"/>
      <c r="R18" s="8"/>
      <c r="S18" s="8"/>
      <c r="T18" s="8"/>
      <c r="U18" s="8"/>
      <c r="V18" s="8"/>
      <c r="W18" s="8"/>
      <c r="X18" s="8"/>
      <c r="Y18" s="49"/>
      <c r="Z18" s="49"/>
      <c r="AA18" s="49"/>
      <c r="AB18" s="49"/>
    </row>
    <row r="19" spans="1:28" ht="71.25" x14ac:dyDescent="0.2">
      <c r="A19" s="92" t="s">
        <v>520</v>
      </c>
      <c r="B19" s="92" t="s">
        <v>968</v>
      </c>
      <c r="C19" s="92" t="s">
        <v>985</v>
      </c>
      <c r="D19" s="92" t="s">
        <v>564</v>
      </c>
      <c r="E19" s="92"/>
      <c r="F19" s="92" t="s">
        <v>565</v>
      </c>
      <c r="G19" s="92"/>
      <c r="H19" s="92" t="s">
        <v>28</v>
      </c>
      <c r="I19" s="92"/>
      <c r="J19" s="8"/>
      <c r="K19" s="8"/>
      <c r="L19" s="8"/>
      <c r="M19" s="8"/>
      <c r="N19" s="8"/>
      <c r="O19" s="8"/>
      <c r="P19" s="8"/>
      <c r="Q19" s="8"/>
      <c r="R19" s="8"/>
      <c r="S19" s="8"/>
      <c r="T19" s="8"/>
      <c r="U19" s="8"/>
      <c r="V19" s="8"/>
      <c r="W19" s="8"/>
      <c r="X19" s="8"/>
      <c r="Y19" s="49"/>
      <c r="Z19" s="49"/>
      <c r="AA19" s="49"/>
      <c r="AB19" s="49"/>
    </row>
    <row r="20" spans="1:28" ht="57" x14ac:dyDescent="0.2">
      <c r="A20" s="92" t="s">
        <v>521</v>
      </c>
      <c r="B20" s="92" t="s">
        <v>967</v>
      </c>
      <c r="C20" s="92" t="s">
        <v>905</v>
      </c>
      <c r="D20" s="92" t="s">
        <v>566</v>
      </c>
      <c r="E20" s="92"/>
      <c r="F20" s="92" t="s">
        <v>567</v>
      </c>
      <c r="G20" s="92"/>
      <c r="H20" s="92" t="s">
        <v>28</v>
      </c>
      <c r="I20" s="92"/>
      <c r="J20" s="8"/>
      <c r="K20" s="8"/>
      <c r="L20" s="8"/>
      <c r="M20" s="8"/>
      <c r="N20" s="8"/>
      <c r="O20" s="8"/>
      <c r="P20" s="8"/>
      <c r="Q20" s="8"/>
      <c r="R20" s="8"/>
      <c r="S20" s="8"/>
      <c r="T20" s="8"/>
      <c r="U20" s="8"/>
      <c r="V20" s="8"/>
      <c r="W20" s="8"/>
      <c r="X20" s="8"/>
      <c r="Y20" s="49"/>
      <c r="Z20" s="49"/>
      <c r="AA20" s="49"/>
      <c r="AB20" s="49"/>
    </row>
    <row r="21" spans="1:28" ht="42.75" x14ac:dyDescent="0.2">
      <c r="A21" s="92" t="s">
        <v>523</v>
      </c>
      <c r="B21" s="92" t="s">
        <v>718</v>
      </c>
      <c r="C21" s="92" t="s">
        <v>986</v>
      </c>
      <c r="D21" s="92" t="s">
        <v>568</v>
      </c>
      <c r="E21" s="92"/>
      <c r="F21" s="92" t="s">
        <v>569</v>
      </c>
      <c r="G21" s="92"/>
      <c r="H21" s="92" t="s">
        <v>28</v>
      </c>
      <c r="I21" s="92"/>
      <c r="J21" s="8"/>
      <c r="K21" s="8"/>
      <c r="L21" s="8"/>
      <c r="M21" s="8"/>
      <c r="N21" s="8"/>
      <c r="O21" s="8"/>
      <c r="P21" s="8"/>
      <c r="Q21" s="8"/>
      <c r="R21" s="8"/>
      <c r="S21" s="8"/>
      <c r="T21" s="8"/>
      <c r="U21" s="8"/>
      <c r="V21" s="8"/>
      <c r="W21" s="8"/>
      <c r="X21" s="8"/>
      <c r="Y21" s="49"/>
      <c r="Z21" s="49"/>
      <c r="AA21" s="49"/>
      <c r="AB21" s="49"/>
    </row>
    <row r="22" spans="1:28" ht="57" x14ac:dyDescent="0.2">
      <c r="A22" s="92" t="s">
        <v>524</v>
      </c>
      <c r="B22" s="92" t="s">
        <v>526</v>
      </c>
      <c r="C22" s="92" t="s">
        <v>570</v>
      </c>
      <c r="D22" s="92" t="s">
        <v>571</v>
      </c>
      <c r="E22" s="92"/>
      <c r="F22" s="92" t="s">
        <v>572</v>
      </c>
      <c r="G22" s="92"/>
      <c r="H22" s="92" t="s">
        <v>28</v>
      </c>
      <c r="I22" s="92"/>
      <c r="J22" s="8"/>
      <c r="K22" s="8"/>
      <c r="L22" s="8"/>
      <c r="M22" s="8"/>
      <c r="N22" s="8"/>
      <c r="O22" s="8"/>
      <c r="P22" s="8"/>
      <c r="Q22" s="8"/>
      <c r="R22" s="8"/>
      <c r="S22" s="8"/>
      <c r="T22" s="8"/>
      <c r="U22" s="8"/>
      <c r="V22" s="8"/>
      <c r="W22" s="8"/>
      <c r="X22" s="8"/>
      <c r="Y22" s="49"/>
      <c r="Z22" s="49"/>
      <c r="AA22" s="49"/>
      <c r="AB22" s="49"/>
    </row>
    <row r="23" spans="1:28" ht="57" x14ac:dyDescent="0.2">
      <c r="A23" s="92" t="s">
        <v>525</v>
      </c>
      <c r="B23" s="92" t="s">
        <v>527</v>
      </c>
      <c r="C23" s="92" t="s">
        <v>447</v>
      </c>
      <c r="D23" s="92" t="s">
        <v>498</v>
      </c>
      <c r="E23" s="92" t="s">
        <v>725</v>
      </c>
      <c r="F23" s="92" t="s">
        <v>573</v>
      </c>
      <c r="G23" s="92"/>
      <c r="H23" s="92" t="s">
        <v>25</v>
      </c>
      <c r="I23" s="92"/>
      <c r="J23" s="8"/>
      <c r="K23" s="8"/>
      <c r="L23" s="8"/>
      <c r="M23" s="8"/>
      <c r="N23" s="8"/>
      <c r="O23" s="8"/>
      <c r="P23" s="8"/>
      <c r="Q23" s="8"/>
      <c r="R23" s="8"/>
      <c r="S23" s="8"/>
      <c r="T23" s="8"/>
      <c r="U23" s="8"/>
      <c r="V23" s="8"/>
      <c r="W23" s="8"/>
      <c r="X23" s="8"/>
      <c r="Y23" s="49"/>
      <c r="Z23" s="49"/>
      <c r="AA23" s="49"/>
      <c r="AB23" s="49"/>
    </row>
    <row r="24" spans="1:28" ht="15" x14ac:dyDescent="0.2">
      <c r="A24" s="173" t="s">
        <v>86</v>
      </c>
      <c r="B24" s="173"/>
      <c r="C24" s="173"/>
      <c r="D24" s="173"/>
      <c r="E24" s="173"/>
      <c r="F24" s="173"/>
      <c r="G24" s="173"/>
      <c r="H24" s="177"/>
      <c r="I24" s="124"/>
      <c r="J24" s="8"/>
      <c r="K24" s="8"/>
      <c r="L24" s="8"/>
      <c r="M24" s="8"/>
      <c r="N24" s="8"/>
      <c r="O24" s="8"/>
      <c r="P24" s="8"/>
      <c r="Q24" s="8"/>
      <c r="R24" s="8"/>
      <c r="S24" s="8"/>
      <c r="T24" s="8"/>
      <c r="U24" s="8"/>
      <c r="V24" s="8"/>
      <c r="W24" s="8"/>
      <c r="X24" s="8"/>
      <c r="Y24" s="49"/>
      <c r="Z24" s="49"/>
      <c r="AA24" s="49"/>
      <c r="AB24" s="49"/>
    </row>
    <row r="25" spans="1:28" ht="57" x14ac:dyDescent="0.2">
      <c r="A25" s="92" t="s">
        <v>528</v>
      </c>
      <c r="B25" s="92" t="s">
        <v>529</v>
      </c>
      <c r="C25" s="92" t="s">
        <v>987</v>
      </c>
      <c r="D25" s="92" t="s">
        <v>545</v>
      </c>
      <c r="E25" s="92"/>
      <c r="F25" s="92" t="s">
        <v>546</v>
      </c>
      <c r="G25" s="92"/>
      <c r="H25" s="92" t="s">
        <v>25</v>
      </c>
      <c r="I25" s="92"/>
      <c r="J25" s="8"/>
      <c r="K25" s="8"/>
      <c r="L25" s="8"/>
      <c r="M25" s="8"/>
      <c r="N25" s="8"/>
      <c r="O25" s="8"/>
      <c r="P25" s="8"/>
      <c r="Q25" s="8"/>
      <c r="R25" s="8"/>
      <c r="S25" s="8"/>
      <c r="T25" s="8"/>
      <c r="U25" s="8"/>
      <c r="V25" s="8"/>
      <c r="W25" s="8"/>
      <c r="X25" s="8"/>
      <c r="Y25" s="49"/>
      <c r="Z25" s="49"/>
      <c r="AA25" s="49"/>
      <c r="AB25" s="49"/>
    </row>
    <row r="26" spans="1:28" ht="57" x14ac:dyDescent="0.2">
      <c r="A26" s="92" t="s">
        <v>1000</v>
      </c>
      <c r="B26" s="92" t="s">
        <v>530</v>
      </c>
      <c r="C26" s="92" t="s">
        <v>988</v>
      </c>
      <c r="D26" s="92" t="s">
        <v>541</v>
      </c>
      <c r="E26" s="92"/>
      <c r="F26" s="92" t="s">
        <v>1003</v>
      </c>
      <c r="G26" s="92"/>
      <c r="H26" s="92" t="s">
        <v>25</v>
      </c>
      <c r="I26" s="92"/>
      <c r="J26" s="8"/>
      <c r="K26" s="8"/>
      <c r="L26" s="8"/>
      <c r="M26" s="8"/>
      <c r="N26" s="8"/>
      <c r="O26" s="8"/>
      <c r="P26" s="8"/>
      <c r="Q26" s="8"/>
      <c r="R26" s="8"/>
      <c r="S26" s="8"/>
      <c r="T26" s="8"/>
      <c r="U26" s="8"/>
      <c r="V26" s="8"/>
      <c r="W26" s="8"/>
      <c r="X26" s="8"/>
      <c r="Y26" s="49"/>
      <c r="Z26" s="49"/>
      <c r="AA26" s="49"/>
      <c r="AB26" s="49"/>
    </row>
    <row r="27" spans="1:28" ht="42.75" x14ac:dyDescent="0.2">
      <c r="A27" s="92" t="s">
        <v>1001</v>
      </c>
      <c r="B27" s="92" t="s">
        <v>719</v>
      </c>
      <c r="C27" s="92" t="s">
        <v>989</v>
      </c>
      <c r="D27" s="92" t="s">
        <v>991</v>
      </c>
      <c r="E27" s="92"/>
      <c r="F27" s="92" t="s">
        <v>542</v>
      </c>
      <c r="G27" s="92"/>
      <c r="H27" s="92" t="s">
        <v>25</v>
      </c>
      <c r="I27" s="92"/>
      <c r="J27" s="8"/>
      <c r="K27" s="8"/>
      <c r="L27" s="8"/>
      <c r="M27" s="8"/>
      <c r="N27" s="8"/>
      <c r="O27" s="8"/>
      <c r="P27" s="8"/>
      <c r="Q27" s="8"/>
      <c r="R27" s="8"/>
      <c r="S27" s="8"/>
      <c r="T27" s="8"/>
      <c r="U27" s="8"/>
      <c r="V27" s="8"/>
      <c r="W27" s="8"/>
      <c r="X27" s="8"/>
      <c r="Y27" s="49"/>
      <c r="Z27" s="49"/>
      <c r="AA27" s="49"/>
      <c r="AB27" s="49"/>
    </row>
    <row r="28" spans="1:28" ht="85.5" x14ac:dyDescent="0.2">
      <c r="A28" s="92" t="s">
        <v>531</v>
      </c>
      <c r="B28" s="92" t="s">
        <v>532</v>
      </c>
      <c r="C28" s="92" t="s">
        <v>990</v>
      </c>
      <c r="D28" s="92" t="s">
        <v>994</v>
      </c>
      <c r="E28" s="92" t="s">
        <v>993</v>
      </c>
      <c r="F28" s="92" t="s">
        <v>992</v>
      </c>
      <c r="G28" s="92"/>
      <c r="H28" s="92" t="s">
        <v>25</v>
      </c>
      <c r="I28" s="92"/>
      <c r="J28" s="8"/>
      <c r="K28" s="8"/>
      <c r="L28" s="8"/>
      <c r="M28" s="8"/>
      <c r="N28" s="8"/>
      <c r="O28" s="8"/>
      <c r="P28" s="8"/>
      <c r="Q28" s="8"/>
      <c r="R28" s="8"/>
      <c r="S28" s="8"/>
      <c r="T28" s="8"/>
      <c r="U28" s="8"/>
      <c r="V28" s="8"/>
      <c r="W28" s="8"/>
      <c r="X28" s="8"/>
      <c r="Y28" s="49"/>
      <c r="Z28" s="49"/>
      <c r="AA28" s="49"/>
      <c r="AB28" s="49"/>
    </row>
    <row r="29" spans="1:28" ht="71.25" x14ac:dyDescent="0.2">
      <c r="A29" s="92" t="s">
        <v>533</v>
      </c>
      <c r="B29" s="92" t="s">
        <v>534</v>
      </c>
      <c r="C29" s="92" t="s">
        <v>543</v>
      </c>
      <c r="D29" s="92" t="s">
        <v>995</v>
      </c>
      <c r="E29" s="92" t="s">
        <v>996</v>
      </c>
      <c r="F29" s="92" t="s">
        <v>975</v>
      </c>
      <c r="G29" s="92"/>
      <c r="H29" s="92" t="s">
        <v>25</v>
      </c>
      <c r="I29" s="92"/>
      <c r="J29" s="8"/>
      <c r="K29" s="8"/>
      <c r="L29" s="8"/>
      <c r="M29" s="8"/>
      <c r="N29" s="8"/>
      <c r="O29" s="8"/>
      <c r="P29" s="8"/>
      <c r="Q29" s="8"/>
      <c r="R29" s="8"/>
      <c r="S29" s="8"/>
      <c r="T29" s="8"/>
      <c r="U29" s="8"/>
      <c r="V29" s="8"/>
      <c r="W29" s="8"/>
      <c r="X29" s="8"/>
      <c r="Y29" s="49"/>
      <c r="Z29" s="49"/>
      <c r="AA29" s="49"/>
      <c r="AB29" s="49"/>
    </row>
    <row r="30" spans="1:28" ht="42.75" x14ac:dyDescent="0.2">
      <c r="A30" s="92" t="s">
        <v>535</v>
      </c>
      <c r="B30" s="92" t="s">
        <v>536</v>
      </c>
      <c r="C30" s="92" t="s">
        <v>986</v>
      </c>
      <c r="D30" s="92" t="s">
        <v>544</v>
      </c>
      <c r="E30" s="92"/>
      <c r="F30" s="92" t="s">
        <v>976</v>
      </c>
      <c r="G30" s="92"/>
      <c r="H30" s="92" t="s">
        <v>25</v>
      </c>
      <c r="I30" s="92"/>
      <c r="J30" s="8"/>
      <c r="K30" s="8"/>
      <c r="L30" s="8"/>
      <c r="M30" s="8"/>
      <c r="N30" s="8"/>
      <c r="O30" s="8"/>
      <c r="P30" s="8"/>
      <c r="Q30" s="8"/>
      <c r="R30" s="8"/>
      <c r="S30" s="8"/>
      <c r="T30" s="8"/>
      <c r="U30" s="8"/>
      <c r="V30" s="8"/>
      <c r="W30" s="8"/>
      <c r="X30" s="8"/>
      <c r="Y30" s="49"/>
      <c r="Z30" s="49"/>
      <c r="AA30" s="49"/>
      <c r="AB30" s="49"/>
    </row>
    <row r="31" spans="1:28" ht="15" x14ac:dyDescent="0.2">
      <c r="A31" s="172" t="s">
        <v>160</v>
      </c>
      <c r="B31" s="173"/>
      <c r="C31" s="173"/>
      <c r="D31" s="173"/>
      <c r="E31" s="173"/>
      <c r="F31" s="173"/>
      <c r="G31" s="173"/>
      <c r="H31" s="173"/>
      <c r="I31" s="105"/>
      <c r="J31" s="8"/>
      <c r="K31" s="8"/>
      <c r="L31" s="8"/>
      <c r="M31" s="8"/>
      <c r="N31" s="8"/>
      <c r="O31" s="8"/>
      <c r="P31" s="8"/>
      <c r="Q31" s="8"/>
      <c r="R31" s="8"/>
      <c r="S31" s="8"/>
      <c r="T31" s="8"/>
      <c r="U31" s="8"/>
      <c r="V31" s="8"/>
      <c r="W31" s="8"/>
      <c r="X31" s="8"/>
      <c r="Y31" s="49"/>
      <c r="Z31" s="49"/>
      <c r="AA31" s="49"/>
      <c r="AB31" s="49"/>
    </row>
    <row r="32" spans="1:28" ht="71.25" x14ac:dyDescent="0.2">
      <c r="A32" s="92" t="s">
        <v>538</v>
      </c>
      <c r="B32" s="92" t="s">
        <v>537</v>
      </c>
      <c r="C32" s="92" t="s">
        <v>997</v>
      </c>
      <c r="D32" s="92" t="s">
        <v>540</v>
      </c>
      <c r="E32" s="92"/>
      <c r="F32" s="92" t="s">
        <v>977</v>
      </c>
      <c r="G32" s="92"/>
      <c r="H32" s="92" t="s">
        <v>28</v>
      </c>
      <c r="I32" s="92"/>
      <c r="J32" s="8"/>
      <c r="K32" s="8"/>
      <c r="L32" s="8"/>
      <c r="M32" s="8"/>
      <c r="N32" s="8"/>
      <c r="O32" s="8"/>
      <c r="P32" s="8"/>
      <c r="Q32" s="8"/>
      <c r="R32" s="8"/>
      <c r="S32" s="8"/>
      <c r="T32" s="8"/>
      <c r="U32" s="8"/>
      <c r="V32" s="8"/>
      <c r="W32" s="8"/>
      <c r="X32" s="8"/>
      <c r="Y32" s="49"/>
      <c r="Z32" s="49"/>
      <c r="AA32" s="49"/>
      <c r="AB32" s="49"/>
    </row>
    <row r="33" spans="1:28" ht="71.25" x14ac:dyDescent="0.2">
      <c r="A33" s="92" t="s">
        <v>539</v>
      </c>
      <c r="B33" s="92" t="s">
        <v>966</v>
      </c>
      <c r="C33" s="92" t="s">
        <v>998</v>
      </c>
      <c r="D33" s="92" t="s">
        <v>999</v>
      </c>
      <c r="E33" s="92"/>
      <c r="F33" s="92" t="s">
        <v>978</v>
      </c>
      <c r="G33" s="92"/>
      <c r="H33" s="92" t="s">
        <v>28</v>
      </c>
      <c r="I33" s="92"/>
      <c r="J33" s="8"/>
      <c r="K33" s="8"/>
      <c r="L33" s="8"/>
      <c r="M33" s="8"/>
      <c r="N33" s="8"/>
      <c r="O33" s="8"/>
      <c r="P33" s="8"/>
      <c r="Q33" s="8"/>
      <c r="R33" s="8"/>
      <c r="S33" s="8"/>
      <c r="T33" s="8"/>
      <c r="U33" s="8"/>
      <c r="V33" s="8"/>
      <c r="W33" s="8"/>
      <c r="X33" s="8"/>
      <c r="Y33" s="49"/>
      <c r="Z33" s="49"/>
      <c r="AA33" s="49"/>
      <c r="AB33" s="49"/>
    </row>
    <row r="34" spans="1:28" ht="14.25" x14ac:dyDescent="0.2">
      <c r="A34" s="8"/>
      <c r="B34" s="8"/>
      <c r="C34" s="8"/>
      <c r="D34" s="8"/>
      <c r="E34" s="8"/>
      <c r="F34" s="8"/>
      <c r="G34" s="8"/>
      <c r="H34" s="8"/>
      <c r="I34" s="8"/>
      <c r="J34" s="8"/>
      <c r="K34" s="8"/>
      <c r="L34" s="8"/>
      <c r="M34" s="8"/>
      <c r="N34" s="8"/>
      <c r="O34" s="8"/>
      <c r="P34" s="8"/>
      <c r="Q34" s="8"/>
      <c r="R34" s="8"/>
      <c r="S34" s="8"/>
      <c r="T34" s="8"/>
      <c r="U34" s="8"/>
      <c r="V34" s="8"/>
      <c r="W34" s="8"/>
      <c r="X34" s="8"/>
      <c r="Y34" s="49"/>
      <c r="Z34" s="49"/>
      <c r="AA34" s="49"/>
      <c r="AB34" s="49"/>
    </row>
    <row r="35" spans="1:28" ht="14.25" x14ac:dyDescent="0.2">
      <c r="A35" s="8"/>
      <c r="B35" s="8"/>
      <c r="C35" s="8"/>
      <c r="D35" s="8"/>
      <c r="E35" s="8"/>
      <c r="F35" s="8"/>
      <c r="G35" s="8"/>
      <c r="H35" s="8"/>
      <c r="I35" s="8"/>
      <c r="J35" s="8"/>
      <c r="K35" s="8"/>
      <c r="L35" s="8"/>
      <c r="M35" s="8"/>
      <c r="N35" s="8"/>
      <c r="O35" s="8"/>
      <c r="P35" s="8"/>
      <c r="Q35" s="8"/>
      <c r="R35" s="8"/>
      <c r="S35" s="8"/>
      <c r="T35" s="8"/>
      <c r="U35" s="8"/>
      <c r="V35" s="8"/>
      <c r="W35" s="8"/>
      <c r="X35" s="8"/>
      <c r="Y35" s="49"/>
      <c r="Z35" s="49"/>
      <c r="AA35" s="49"/>
      <c r="AB35" s="49"/>
    </row>
    <row r="36" spans="1:28" ht="14.25" x14ac:dyDescent="0.2">
      <c r="A36" s="8"/>
      <c r="B36" s="8"/>
      <c r="C36" s="8"/>
      <c r="D36" s="8"/>
      <c r="E36" s="8"/>
      <c r="F36" s="8"/>
      <c r="G36" s="8"/>
      <c r="H36" s="8"/>
      <c r="I36" s="8"/>
      <c r="J36" s="8"/>
      <c r="K36" s="8"/>
      <c r="L36" s="8"/>
      <c r="M36" s="8"/>
      <c r="N36" s="8"/>
      <c r="O36" s="8"/>
      <c r="P36" s="8"/>
      <c r="Q36" s="8"/>
      <c r="R36" s="8"/>
      <c r="S36" s="8"/>
      <c r="T36" s="8"/>
      <c r="U36" s="8"/>
      <c r="V36" s="8"/>
      <c r="W36" s="8"/>
      <c r="X36" s="8"/>
      <c r="Y36" s="49"/>
      <c r="Z36" s="49"/>
      <c r="AA36" s="49"/>
      <c r="AB36" s="49"/>
    </row>
    <row r="37" spans="1:28" ht="14.25" x14ac:dyDescent="0.2">
      <c r="A37" s="8"/>
      <c r="B37" s="8"/>
      <c r="C37" s="8"/>
      <c r="D37" s="8"/>
      <c r="E37" s="8"/>
      <c r="F37" s="8"/>
      <c r="G37" s="8"/>
      <c r="H37" s="8"/>
      <c r="I37" s="8"/>
      <c r="J37" s="8"/>
      <c r="K37" s="8"/>
      <c r="L37" s="8"/>
      <c r="M37" s="8"/>
      <c r="N37" s="8"/>
      <c r="O37" s="8"/>
      <c r="P37" s="8"/>
      <c r="Q37" s="8"/>
      <c r="R37" s="8"/>
      <c r="S37" s="8"/>
      <c r="T37" s="8"/>
      <c r="U37" s="8"/>
      <c r="V37" s="8"/>
      <c r="W37" s="8"/>
      <c r="X37" s="8"/>
      <c r="Y37" s="49"/>
      <c r="Z37" s="49"/>
      <c r="AA37" s="49"/>
      <c r="AB37" s="49"/>
    </row>
    <row r="38" spans="1:28" ht="14.25" x14ac:dyDescent="0.2">
      <c r="A38" s="8"/>
      <c r="B38" s="8"/>
      <c r="C38" s="8"/>
      <c r="D38" s="8"/>
      <c r="E38" s="8"/>
      <c r="F38" s="8"/>
      <c r="G38" s="8"/>
      <c r="H38" s="8"/>
      <c r="I38" s="8"/>
      <c r="J38" s="8"/>
      <c r="K38" s="8"/>
      <c r="L38" s="8"/>
      <c r="M38" s="8"/>
      <c r="N38" s="8"/>
      <c r="O38" s="8"/>
      <c r="P38" s="8"/>
      <c r="Q38" s="8"/>
      <c r="R38" s="8"/>
      <c r="S38" s="8"/>
      <c r="T38" s="8"/>
      <c r="U38" s="8"/>
      <c r="V38" s="8"/>
      <c r="W38" s="8"/>
      <c r="X38" s="8"/>
      <c r="Y38" s="49"/>
      <c r="Z38" s="49"/>
      <c r="AA38" s="49"/>
      <c r="AB38" s="49"/>
    </row>
    <row r="39" spans="1:28" ht="14.25" x14ac:dyDescent="0.2">
      <c r="A39" s="8"/>
      <c r="B39" s="8"/>
      <c r="C39" s="8"/>
      <c r="D39" s="8"/>
      <c r="E39" s="8"/>
      <c r="F39" s="8"/>
      <c r="G39" s="8"/>
      <c r="H39" s="8"/>
      <c r="I39" s="8"/>
      <c r="J39" s="8"/>
      <c r="K39" s="8"/>
      <c r="L39" s="8"/>
      <c r="M39" s="8"/>
      <c r="N39" s="8"/>
      <c r="O39" s="8"/>
      <c r="P39" s="8"/>
      <c r="Q39" s="8"/>
      <c r="R39" s="8"/>
      <c r="S39" s="8"/>
      <c r="T39" s="8"/>
      <c r="U39" s="8"/>
      <c r="V39" s="8"/>
      <c r="W39" s="8"/>
      <c r="X39" s="8"/>
      <c r="Y39" s="49"/>
      <c r="Z39" s="49"/>
      <c r="AA39" s="49"/>
      <c r="AB39" s="49"/>
    </row>
    <row r="40" spans="1:28" ht="14.25" x14ac:dyDescent="0.2">
      <c r="A40" s="8"/>
      <c r="B40" s="8"/>
      <c r="C40" s="8"/>
      <c r="D40" s="8"/>
      <c r="E40" s="8"/>
      <c r="F40" s="8"/>
      <c r="G40" s="8"/>
      <c r="H40" s="8"/>
      <c r="I40" s="8"/>
      <c r="J40" s="8"/>
      <c r="K40" s="8"/>
      <c r="L40" s="8"/>
      <c r="M40" s="8"/>
      <c r="N40" s="8"/>
      <c r="O40" s="8"/>
      <c r="P40" s="8"/>
      <c r="Q40" s="8"/>
      <c r="R40" s="8"/>
      <c r="S40" s="8"/>
      <c r="T40" s="8"/>
      <c r="U40" s="8"/>
      <c r="V40" s="8"/>
      <c r="W40" s="8"/>
      <c r="X40" s="8"/>
      <c r="Y40" s="49"/>
      <c r="Z40" s="49"/>
      <c r="AA40" s="49"/>
      <c r="AB40" s="49"/>
    </row>
    <row r="41" spans="1:28" ht="14.25" x14ac:dyDescent="0.2">
      <c r="A41" s="8"/>
      <c r="B41" s="8"/>
      <c r="C41" s="8"/>
      <c r="D41" s="8"/>
      <c r="E41" s="8"/>
      <c r="F41" s="8"/>
      <c r="G41" s="8"/>
      <c r="H41" s="8"/>
      <c r="I41" s="8"/>
      <c r="J41" s="8"/>
      <c r="K41" s="8"/>
      <c r="L41" s="8"/>
      <c r="M41" s="8"/>
      <c r="N41" s="8"/>
      <c r="O41" s="8"/>
      <c r="P41" s="8"/>
      <c r="Q41" s="8"/>
      <c r="R41" s="8"/>
      <c r="S41" s="8"/>
      <c r="T41" s="8"/>
      <c r="U41" s="8"/>
      <c r="V41" s="8"/>
      <c r="W41" s="8"/>
      <c r="X41" s="8"/>
      <c r="Y41" s="49"/>
      <c r="Z41" s="49"/>
      <c r="AA41" s="49"/>
      <c r="AB41" s="49"/>
    </row>
    <row r="42" spans="1:28" ht="14.25" x14ac:dyDescent="0.2">
      <c r="A42" s="8"/>
      <c r="B42" s="8"/>
      <c r="C42" s="8"/>
      <c r="D42" s="8"/>
      <c r="E42" s="8"/>
      <c r="F42" s="8"/>
      <c r="G42" s="8"/>
      <c r="H42" s="8"/>
      <c r="I42" s="8"/>
      <c r="J42" s="8"/>
      <c r="K42" s="8"/>
      <c r="L42" s="8"/>
      <c r="M42" s="8"/>
      <c r="N42" s="8"/>
      <c r="O42" s="8"/>
      <c r="P42" s="8"/>
      <c r="Q42" s="8"/>
      <c r="R42" s="8"/>
      <c r="S42" s="8"/>
      <c r="T42" s="8"/>
      <c r="U42" s="8"/>
      <c r="V42" s="8"/>
      <c r="W42" s="8"/>
      <c r="X42" s="8"/>
      <c r="Y42" s="49"/>
      <c r="Z42" s="49"/>
      <c r="AA42" s="49"/>
      <c r="AB42" s="49"/>
    </row>
    <row r="43" spans="1:28" ht="14.25" x14ac:dyDescent="0.2">
      <c r="A43" s="8"/>
      <c r="B43" s="8"/>
      <c r="C43" s="8"/>
      <c r="D43" s="8"/>
      <c r="E43" s="8"/>
      <c r="F43" s="8"/>
      <c r="G43" s="8"/>
      <c r="H43" s="8"/>
      <c r="I43" s="8"/>
      <c r="J43" s="8"/>
      <c r="K43" s="8"/>
      <c r="L43" s="8"/>
      <c r="M43" s="8"/>
      <c r="N43" s="8"/>
      <c r="O43" s="8"/>
      <c r="P43" s="8"/>
      <c r="Q43" s="8"/>
      <c r="R43" s="8"/>
      <c r="S43" s="8"/>
      <c r="T43" s="8"/>
      <c r="U43" s="8"/>
      <c r="V43" s="8"/>
      <c r="W43" s="8"/>
      <c r="X43" s="8"/>
      <c r="Y43" s="49"/>
      <c r="Z43" s="49"/>
      <c r="AA43" s="49"/>
      <c r="AB43" s="49"/>
    </row>
    <row r="44" spans="1:28" ht="14.25" x14ac:dyDescent="0.2">
      <c r="A44" s="8"/>
      <c r="B44" s="8"/>
      <c r="C44" s="8"/>
      <c r="D44" s="8"/>
      <c r="E44" s="8"/>
      <c r="F44" s="8"/>
      <c r="G44" s="8"/>
      <c r="H44" s="8"/>
      <c r="I44" s="8"/>
      <c r="J44" s="8"/>
      <c r="K44" s="8"/>
      <c r="L44" s="8"/>
      <c r="M44" s="8"/>
      <c r="N44" s="8"/>
      <c r="O44" s="8"/>
      <c r="P44" s="8"/>
      <c r="Q44" s="8"/>
      <c r="R44" s="8"/>
      <c r="S44" s="8"/>
      <c r="T44" s="8"/>
      <c r="U44" s="8"/>
      <c r="V44" s="8"/>
      <c r="W44" s="8"/>
      <c r="X44" s="8"/>
      <c r="Y44" s="49"/>
      <c r="Z44" s="49"/>
      <c r="AA44" s="49"/>
      <c r="AB44" s="49"/>
    </row>
    <row r="45" spans="1:28" ht="14.25"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4.25"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49"/>
      <c r="Z188" s="49"/>
      <c r="AA188" s="49"/>
      <c r="AB188" s="49"/>
    </row>
    <row r="189" spans="1:28" ht="14.25"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49"/>
      <c r="Z189" s="49"/>
      <c r="AA189" s="49"/>
      <c r="AB189" s="49"/>
    </row>
    <row r="190" spans="1:28" ht="14.25"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49"/>
      <c r="Z190" s="49"/>
      <c r="AA190" s="49"/>
      <c r="AB190" s="49"/>
    </row>
    <row r="191" spans="1:28" ht="14.25"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49"/>
      <c r="Z191" s="49"/>
      <c r="AA191" s="49"/>
      <c r="AB191" s="49"/>
    </row>
    <row r="192" spans="1:28" ht="14.25"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49"/>
      <c r="Z192" s="49"/>
      <c r="AA192" s="49"/>
      <c r="AB192" s="49"/>
    </row>
    <row r="193" spans="1:28" ht="14.25"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49"/>
      <c r="Z193" s="49"/>
      <c r="AA193" s="49"/>
      <c r="AB193" s="49"/>
    </row>
    <row r="194" spans="1:28" ht="14.25" x14ac:dyDescent="0.2">
      <c r="A194" s="8"/>
      <c r="B194" s="8"/>
      <c r="C194" s="8"/>
      <c r="D194" s="8"/>
      <c r="E194" s="8"/>
      <c r="F194" s="8"/>
      <c r="G194" s="8"/>
      <c r="H194" s="8"/>
      <c r="I194" s="8"/>
      <c r="J194" s="49"/>
      <c r="K194" s="49"/>
      <c r="L194" s="49"/>
      <c r="M194" s="49"/>
      <c r="N194" s="49"/>
      <c r="O194" s="49"/>
      <c r="P194" s="49"/>
      <c r="Q194" s="49"/>
      <c r="R194" s="49"/>
      <c r="S194" s="49"/>
      <c r="T194" s="49"/>
      <c r="U194" s="49"/>
      <c r="V194" s="49"/>
      <c r="W194" s="49"/>
      <c r="X194" s="49"/>
      <c r="Y194" s="49"/>
      <c r="Z194" s="49"/>
      <c r="AA194" s="49"/>
      <c r="AB194" s="49"/>
    </row>
    <row r="195" spans="1:28" ht="14.25" x14ac:dyDescent="0.2">
      <c r="A195" s="8"/>
      <c r="B195" s="8"/>
      <c r="C195" s="8"/>
      <c r="D195" s="8"/>
      <c r="E195" s="8"/>
      <c r="F195" s="8"/>
      <c r="G195" s="8"/>
      <c r="H195" s="8"/>
      <c r="I195" s="8"/>
      <c r="J195" s="49"/>
      <c r="K195" s="49"/>
      <c r="L195" s="49"/>
      <c r="M195" s="49"/>
      <c r="N195" s="49"/>
      <c r="O195" s="49"/>
      <c r="P195" s="49"/>
      <c r="Q195" s="49"/>
      <c r="R195" s="49"/>
      <c r="S195" s="49"/>
      <c r="T195" s="49"/>
      <c r="U195" s="49"/>
      <c r="V195" s="49"/>
      <c r="W195" s="49"/>
      <c r="X195" s="49"/>
      <c r="Y195" s="49"/>
      <c r="Z195" s="49"/>
      <c r="AA195" s="49"/>
      <c r="AB195" s="49"/>
    </row>
    <row r="196" spans="1:28" ht="14.25" x14ac:dyDescent="0.2">
      <c r="A196" s="8"/>
      <c r="B196" s="8"/>
      <c r="C196" s="8"/>
      <c r="D196" s="8"/>
      <c r="E196" s="8"/>
      <c r="F196" s="8"/>
      <c r="G196" s="8"/>
      <c r="H196" s="8"/>
      <c r="I196" s="8"/>
      <c r="J196" s="49"/>
      <c r="K196" s="49"/>
      <c r="L196" s="49"/>
      <c r="M196" s="49"/>
      <c r="N196" s="49"/>
      <c r="O196" s="49"/>
      <c r="P196" s="49"/>
      <c r="Q196" s="49"/>
      <c r="R196" s="49"/>
      <c r="S196" s="49"/>
      <c r="T196" s="49"/>
      <c r="U196" s="49"/>
      <c r="V196" s="49"/>
      <c r="W196" s="49"/>
      <c r="X196" s="49"/>
      <c r="Y196" s="49"/>
      <c r="Z196" s="49"/>
      <c r="AA196" s="49"/>
      <c r="AB196" s="49"/>
    </row>
    <row r="197" spans="1:28" ht="14.25" x14ac:dyDescent="0.2">
      <c r="A197" s="8"/>
      <c r="B197" s="8"/>
      <c r="C197" s="8"/>
      <c r="D197" s="8"/>
      <c r="E197" s="8"/>
      <c r="F197" s="8"/>
      <c r="G197" s="8"/>
      <c r="H197" s="8"/>
      <c r="I197" s="8"/>
      <c r="J197" s="49"/>
      <c r="K197" s="49"/>
      <c r="L197" s="49"/>
      <c r="M197" s="49"/>
      <c r="N197" s="49"/>
      <c r="O197" s="49"/>
      <c r="P197" s="49"/>
      <c r="Q197" s="49"/>
      <c r="R197" s="49"/>
      <c r="S197" s="49"/>
      <c r="T197" s="49"/>
      <c r="U197" s="49"/>
      <c r="V197" s="49"/>
      <c r="W197" s="49"/>
      <c r="X197" s="49"/>
      <c r="Y197" s="49"/>
      <c r="Z197" s="49"/>
      <c r="AA197" s="49"/>
      <c r="AB197" s="49"/>
    </row>
    <row r="198" spans="1:28" ht="14.25" x14ac:dyDescent="0.2">
      <c r="A198" s="8"/>
      <c r="B198" s="8"/>
      <c r="C198" s="8"/>
      <c r="D198" s="8"/>
      <c r="E198" s="8"/>
      <c r="F198" s="8"/>
      <c r="G198" s="8"/>
      <c r="H198" s="8"/>
      <c r="I198" s="8"/>
      <c r="J198" s="49"/>
      <c r="K198" s="49"/>
      <c r="L198" s="49"/>
      <c r="M198" s="49"/>
      <c r="N198" s="49"/>
      <c r="O198" s="49"/>
      <c r="P198" s="49"/>
      <c r="Q198" s="49"/>
      <c r="R198" s="49"/>
      <c r="S198" s="49"/>
      <c r="T198" s="49"/>
      <c r="U198" s="49"/>
      <c r="V198" s="49"/>
      <c r="W198" s="49"/>
      <c r="X198" s="49"/>
      <c r="Y198" s="49"/>
      <c r="Z198" s="49"/>
      <c r="AA198" s="49"/>
      <c r="AB198" s="49"/>
    </row>
    <row r="199" spans="1:28" ht="14.25" x14ac:dyDescent="0.2">
      <c r="A199" s="8"/>
      <c r="B199" s="8"/>
      <c r="C199" s="8"/>
      <c r="D199" s="8"/>
      <c r="E199" s="8"/>
      <c r="F199" s="8"/>
      <c r="G199" s="8"/>
      <c r="H199" s="8"/>
      <c r="I199" s="8"/>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8"/>
      <c r="B200" s="8"/>
      <c r="C200" s="8"/>
      <c r="D200" s="8"/>
      <c r="E200" s="8"/>
      <c r="F200" s="8"/>
      <c r="G200" s="8"/>
      <c r="H200" s="8"/>
      <c r="I200" s="8"/>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8"/>
      <c r="B201" s="8"/>
      <c r="C201" s="8"/>
      <c r="D201" s="8"/>
      <c r="E201" s="8"/>
      <c r="F201" s="8"/>
      <c r="G201" s="8"/>
      <c r="H201" s="8"/>
      <c r="I201" s="8"/>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8"/>
      <c r="B202" s="8"/>
      <c r="C202" s="8"/>
      <c r="D202" s="8"/>
      <c r="E202" s="8"/>
      <c r="F202" s="8"/>
      <c r="G202" s="8"/>
      <c r="H202" s="8"/>
      <c r="I202" s="8"/>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8"/>
      <c r="B203" s="8"/>
      <c r="C203" s="8"/>
      <c r="D203" s="8"/>
      <c r="E203" s="8"/>
      <c r="F203" s="8"/>
      <c r="G203" s="8"/>
      <c r="H203" s="8"/>
      <c r="I203" s="8"/>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8"/>
      <c r="B204" s="8"/>
      <c r="C204" s="8"/>
      <c r="D204" s="8"/>
      <c r="E204" s="8"/>
      <c r="F204" s="8"/>
      <c r="G204" s="8"/>
      <c r="H204" s="8"/>
      <c r="I204" s="8"/>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4.25"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spans="1:28" ht="14.25"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spans="1:28" ht="14.25" x14ac:dyDescent="0.2">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spans="1:28" ht="14.25" x14ac:dyDescent="0.2">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spans="1:28" ht="14.25" x14ac:dyDescent="0.2">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spans="1:28" ht="14.25" x14ac:dyDescent="0.2">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spans="1:28" ht="14.25" x14ac:dyDescent="0.2">
      <c r="A971" s="49"/>
      <c r="B971" s="49"/>
      <c r="C971" s="49"/>
      <c r="D971" s="49"/>
      <c r="E971" s="49"/>
      <c r="F971" s="49"/>
      <c r="G971" s="49"/>
      <c r="H971" s="49"/>
      <c r="I971" s="49"/>
    </row>
    <row r="972" spans="1:28" ht="14.25" x14ac:dyDescent="0.2">
      <c r="A972" s="49"/>
      <c r="B972" s="49"/>
      <c r="C972" s="49"/>
      <c r="D972" s="49"/>
      <c r="E972" s="49"/>
      <c r="F972" s="49"/>
      <c r="G972" s="49"/>
      <c r="H972" s="49"/>
      <c r="I972" s="49"/>
    </row>
    <row r="973" spans="1:28" ht="14.25" x14ac:dyDescent="0.2">
      <c r="A973" s="49"/>
      <c r="B973" s="49"/>
      <c r="C973" s="49"/>
      <c r="D973" s="49"/>
      <c r="E973" s="49"/>
      <c r="F973" s="49"/>
      <c r="G973" s="49"/>
      <c r="H973" s="49"/>
      <c r="I973" s="49"/>
    </row>
    <row r="974" spans="1:28" ht="14.25" x14ac:dyDescent="0.2">
      <c r="A974" s="49"/>
      <c r="B974" s="49"/>
      <c r="C974" s="49"/>
      <c r="D974" s="49"/>
      <c r="E974" s="49"/>
      <c r="F974" s="49"/>
      <c r="G974" s="49"/>
      <c r="H974" s="49"/>
      <c r="I974" s="49"/>
    </row>
    <row r="975" spans="1:28" ht="14.25" x14ac:dyDescent="0.2">
      <c r="A975" s="49"/>
      <c r="B975" s="49"/>
      <c r="C975" s="49"/>
      <c r="D975" s="49"/>
      <c r="E975" s="49"/>
      <c r="F975" s="49"/>
      <c r="G975" s="49"/>
      <c r="H975" s="49"/>
      <c r="I975" s="49"/>
    </row>
    <row r="976" spans="1:28" ht="14.25" x14ac:dyDescent="0.2">
      <c r="A976" s="49"/>
      <c r="B976" s="49"/>
      <c r="C976" s="49"/>
      <c r="D976" s="49"/>
      <c r="E976" s="49"/>
      <c r="F976" s="49"/>
      <c r="G976" s="49"/>
      <c r="H976" s="49"/>
      <c r="I976" s="49"/>
    </row>
    <row r="977" spans="1:9" ht="14.25" x14ac:dyDescent="0.2">
      <c r="A977" s="49"/>
      <c r="B977" s="49"/>
      <c r="C977" s="49"/>
      <c r="D977" s="49"/>
      <c r="E977" s="49"/>
      <c r="F977" s="49"/>
      <c r="G977" s="49"/>
      <c r="H977" s="49"/>
      <c r="I977" s="49"/>
    </row>
    <row r="978" spans="1:9" ht="14.25" x14ac:dyDescent="0.2">
      <c r="A978" s="49"/>
      <c r="B978" s="49"/>
      <c r="C978" s="49"/>
      <c r="D978" s="49"/>
      <c r="E978" s="49"/>
      <c r="F978" s="49"/>
      <c r="G978" s="49"/>
      <c r="H978" s="49"/>
      <c r="I978" s="49"/>
    </row>
    <row r="979" spans="1:9" ht="14.25" x14ac:dyDescent="0.2">
      <c r="A979" s="49"/>
      <c r="B979" s="49"/>
      <c r="C979" s="49"/>
      <c r="D979" s="49"/>
      <c r="E979" s="49"/>
      <c r="F979" s="49"/>
      <c r="G979" s="49"/>
      <c r="H979" s="49"/>
      <c r="I979" s="49"/>
    </row>
    <row r="980" spans="1:9" ht="14.25" x14ac:dyDescent="0.2">
      <c r="A980" s="49"/>
      <c r="B980" s="49"/>
      <c r="C980" s="49"/>
      <c r="D980" s="49"/>
      <c r="E980" s="49"/>
      <c r="F980" s="49"/>
      <c r="G980" s="49"/>
      <c r="H980" s="49"/>
      <c r="I980" s="49"/>
    </row>
    <row r="981" spans="1:9" ht="14.25" x14ac:dyDescent="0.2">
      <c r="A981" s="49"/>
      <c r="B981" s="49"/>
      <c r="C981" s="49"/>
      <c r="D981" s="49"/>
      <c r="E981" s="49"/>
      <c r="F981" s="49"/>
      <c r="G981" s="49"/>
      <c r="H981" s="49"/>
      <c r="I981" s="49"/>
    </row>
  </sheetData>
  <dataConsolidate/>
  <mergeCells count="3">
    <mergeCell ref="A9:H9"/>
    <mergeCell ref="A24:H24"/>
    <mergeCell ref="A31:H31"/>
  </mergeCells>
  <phoneticPr fontId="28" type="noConversion"/>
  <dataValidations count="1">
    <dataValidation type="list" allowBlank="1" showInputMessage="1" showErrorMessage="1" sqref="H32:H33 H10:H23 H25:H30" xr:uid="{5DEFFD7E-EEC3-4C86-BE16-F1FE633F4BCD}">
      <formula1>"'Pass,'Fail,'Untest,'N/A"</formula1>
    </dataValidation>
  </dataValidations>
  <hyperlinks>
    <hyperlink ref="B2" location="null!A1" display="Back to TestReport" xr:uid="{683FBFFB-D8CA-4ADB-B3C9-978201DEE377}"/>
  </hyperlinks>
  <pageMargins left="0.7" right="0.7" top="0.75" bottom="0.7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90FC-6738-4DF4-840C-1F6B3D39660C}">
  <sheetPr>
    <outlinePr summaryBelow="0" summaryRight="0"/>
  </sheetPr>
  <dimension ref="A1:AB980"/>
  <sheetViews>
    <sheetView zoomScaleNormal="100" workbookViewId="0">
      <pane xSplit="1" ySplit="8" topLeftCell="G20" activePane="bottomRight" state="frozen"/>
      <selection pane="topRight" activeCell="B1" sqref="B1"/>
      <selection pane="bottomLeft" activeCell="A9" sqref="A9"/>
      <selection pane="bottomRight" activeCell="H23" sqref="H23:H27"/>
    </sheetView>
  </sheetViews>
  <sheetFormatPr defaultColWidth="12.625" defaultRowHeight="13.5" x14ac:dyDescent="0.15"/>
  <cols>
    <col min="1" max="1" width="12.75" customWidth="1"/>
    <col min="2" max="2" width="23.875" bestFit="1" customWidth="1"/>
    <col min="3" max="3" width="22.75" customWidth="1"/>
    <col min="4" max="4" width="20.25" customWidth="1"/>
    <col min="5" max="5" width="21.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5"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4.25" x14ac:dyDescent="0.2">
      <c r="A2" s="50"/>
      <c r="B2" s="51" t="s">
        <v>22</v>
      </c>
      <c r="C2" s="51" t="str">
        <f>HYPERLINK("#'Test case List'!A1","Test case List")</f>
        <v>Test case List</v>
      </c>
      <c r="D2" s="50"/>
      <c r="E2" s="50"/>
      <c r="F2" s="50"/>
      <c r="G2" s="61" t="s">
        <v>23</v>
      </c>
      <c r="H2" s="62">
        <f>COUNTIF($A$10:$A$846, "TC*")</f>
        <v>20</v>
      </c>
      <c r="I2" s="50"/>
      <c r="J2" s="50"/>
      <c r="K2" s="50"/>
      <c r="L2" s="50"/>
      <c r="M2" s="50"/>
      <c r="N2" s="50"/>
      <c r="O2" s="50"/>
      <c r="P2" s="50"/>
      <c r="Q2" s="50"/>
      <c r="R2" s="50"/>
      <c r="S2" s="50"/>
      <c r="T2" s="50"/>
      <c r="U2" s="50"/>
      <c r="V2" s="50"/>
      <c r="W2" s="50"/>
      <c r="X2" s="50"/>
      <c r="Y2" s="12"/>
      <c r="Z2" s="12"/>
      <c r="AA2" s="12"/>
      <c r="AB2" s="12"/>
    </row>
    <row r="3" spans="1:28" ht="14.25" x14ac:dyDescent="0.2">
      <c r="A3" s="50"/>
      <c r="B3" s="52" t="s">
        <v>24</v>
      </c>
      <c r="C3" s="82" t="s">
        <v>61</v>
      </c>
      <c r="D3" s="50"/>
      <c r="E3" s="50"/>
      <c r="F3" s="50"/>
      <c r="G3" s="134" t="s">
        <v>25</v>
      </c>
      <c r="H3" s="64">
        <f>(COUNTIF(H10:H31,"Pass"))</f>
        <v>6</v>
      </c>
      <c r="I3" s="50"/>
      <c r="J3" s="50"/>
      <c r="K3" s="50"/>
      <c r="L3" s="50"/>
      <c r="M3" s="50"/>
      <c r="N3" s="50"/>
      <c r="O3" s="50"/>
      <c r="P3" s="50"/>
      <c r="Q3" s="50"/>
      <c r="R3" s="50"/>
      <c r="S3" s="50"/>
      <c r="T3" s="50"/>
      <c r="U3" s="50"/>
      <c r="V3" s="50"/>
      <c r="W3" s="50"/>
      <c r="X3" s="50"/>
      <c r="Y3" s="12"/>
      <c r="Z3" s="12"/>
      <c r="AA3" s="12"/>
      <c r="AB3" s="12"/>
    </row>
    <row r="4" spans="1:28" ht="15" thickBot="1" x14ac:dyDescent="0.25">
      <c r="A4" s="50"/>
      <c r="B4" s="53" t="s">
        <v>26</v>
      </c>
      <c r="C4" s="54" t="s">
        <v>37</v>
      </c>
      <c r="D4" s="50"/>
      <c r="E4" s="50"/>
      <c r="F4" s="50"/>
      <c r="G4" s="63" t="s">
        <v>27</v>
      </c>
      <c r="H4" s="64">
        <f>(COUNTIF(H10:H31,"Fail"))</f>
        <v>0</v>
      </c>
      <c r="I4" s="50"/>
      <c r="J4" s="50"/>
      <c r="K4" s="50"/>
      <c r="L4" s="50"/>
      <c r="M4" s="50"/>
      <c r="N4" s="50"/>
      <c r="O4" s="50"/>
      <c r="P4" s="50"/>
      <c r="Q4" s="50"/>
      <c r="R4" s="50"/>
      <c r="S4" s="50"/>
      <c r="T4" s="50"/>
      <c r="U4" s="50"/>
      <c r="V4" s="50"/>
      <c r="W4" s="50"/>
      <c r="X4" s="50"/>
      <c r="Y4" s="12"/>
      <c r="Z4" s="12"/>
      <c r="AA4" s="12"/>
      <c r="AB4" s="12"/>
    </row>
    <row r="5" spans="1:28" ht="15" thickBot="1" x14ac:dyDescent="0.25">
      <c r="A5" s="50"/>
      <c r="B5" s="55"/>
      <c r="C5" s="55"/>
      <c r="D5" s="50"/>
      <c r="E5" s="50"/>
      <c r="F5" s="50"/>
      <c r="G5" s="63" t="s">
        <v>28</v>
      </c>
      <c r="H5" s="64">
        <f>(COUNTIF(H10:H31,"Untest"))</f>
        <v>14</v>
      </c>
      <c r="I5" s="50"/>
      <c r="J5" s="50"/>
      <c r="K5" s="50"/>
      <c r="L5" s="50"/>
      <c r="M5" s="50"/>
      <c r="N5" s="50"/>
      <c r="O5" s="50"/>
      <c r="P5" s="50"/>
      <c r="Q5" s="50"/>
      <c r="R5" s="50"/>
      <c r="S5" s="50"/>
      <c r="T5" s="50"/>
      <c r="U5" s="50"/>
      <c r="V5" s="50"/>
      <c r="W5" s="50"/>
      <c r="X5" s="50"/>
      <c r="Y5" s="12"/>
      <c r="Z5" s="12"/>
      <c r="AA5" s="12"/>
      <c r="AB5" s="12"/>
    </row>
    <row r="6" spans="1:28" ht="15" thickBot="1" x14ac:dyDescent="0.25">
      <c r="A6" s="55"/>
      <c r="B6" s="56" t="s">
        <v>29</v>
      </c>
      <c r="C6" s="57" t="str">
        <f>ROUND((H3 / (H2-H6))*100,2)&amp;"%"</f>
        <v>30%</v>
      </c>
      <c r="D6" s="50"/>
      <c r="E6" s="50"/>
      <c r="F6" s="50"/>
      <c r="G6" s="84" t="s">
        <v>30</v>
      </c>
      <c r="H6" s="85">
        <f>(COUNTIF(H10:H31,"N/A"))</f>
        <v>0</v>
      </c>
      <c r="I6" s="50"/>
      <c r="J6" s="50"/>
      <c r="K6" s="50"/>
      <c r="L6" s="50"/>
      <c r="M6" s="50"/>
      <c r="N6" s="50"/>
      <c r="O6" s="50"/>
      <c r="P6" s="50"/>
      <c r="Q6" s="50"/>
      <c r="R6" s="50"/>
      <c r="S6" s="50"/>
      <c r="T6" s="50"/>
      <c r="U6" s="50"/>
      <c r="V6" s="50"/>
      <c r="W6" s="50"/>
      <c r="X6" s="50"/>
      <c r="Y6" s="12"/>
      <c r="Z6" s="12"/>
      <c r="AA6" s="12"/>
      <c r="AB6" s="12"/>
    </row>
    <row r="7" spans="1:28" ht="14.25"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15" x14ac:dyDescent="0.25">
      <c r="A8" s="126" t="s">
        <v>31</v>
      </c>
      <c r="B8" s="126" t="s">
        <v>32</v>
      </c>
      <c r="C8" s="127" t="s">
        <v>21</v>
      </c>
      <c r="D8" s="126" t="s">
        <v>14</v>
      </c>
      <c r="E8" s="127" t="s">
        <v>33</v>
      </c>
      <c r="F8" s="126" t="s">
        <v>34</v>
      </c>
      <c r="G8" s="118" t="s">
        <v>35</v>
      </c>
      <c r="H8" s="117" t="s">
        <v>64</v>
      </c>
      <c r="I8" s="127" t="s">
        <v>36</v>
      </c>
      <c r="J8" s="58"/>
      <c r="K8" s="58"/>
      <c r="L8" s="58"/>
      <c r="M8" s="58"/>
      <c r="N8" s="58"/>
      <c r="O8" s="58"/>
      <c r="P8" s="58"/>
      <c r="Q8" s="58"/>
      <c r="R8" s="58"/>
      <c r="S8" s="58"/>
      <c r="T8" s="58"/>
      <c r="U8" s="58"/>
      <c r="V8" s="58"/>
      <c r="W8" s="58"/>
      <c r="X8" s="58"/>
      <c r="Y8" s="58"/>
      <c r="Z8" s="58"/>
      <c r="AA8" s="49"/>
      <c r="AB8" s="49"/>
    </row>
    <row r="9" spans="1:28" ht="15" customHeight="1" x14ac:dyDescent="0.2">
      <c r="A9" s="180" t="s">
        <v>85</v>
      </c>
      <c r="B9" s="180"/>
      <c r="C9" s="180"/>
      <c r="D9" s="180"/>
      <c r="E9" s="180"/>
      <c r="F9" s="180"/>
      <c r="G9" s="180"/>
      <c r="H9" s="180"/>
      <c r="I9" s="128"/>
      <c r="J9" s="86"/>
      <c r="K9" s="86"/>
      <c r="L9" s="86"/>
      <c r="M9" s="86"/>
      <c r="N9" s="86"/>
      <c r="O9" s="86"/>
      <c r="P9" s="86"/>
      <c r="Q9" s="86"/>
      <c r="R9" s="86"/>
      <c r="S9" s="86"/>
      <c r="T9" s="86"/>
      <c r="U9" s="86"/>
      <c r="V9" s="86"/>
      <c r="W9" s="86"/>
      <c r="X9" s="86"/>
      <c r="Y9" s="86"/>
      <c r="Z9" s="86"/>
      <c r="AA9" s="49"/>
      <c r="AB9" s="49"/>
    </row>
    <row r="10" spans="1:28" ht="85.5" x14ac:dyDescent="0.2">
      <c r="A10" s="129" t="s">
        <v>450</v>
      </c>
      <c r="B10" s="129" t="s">
        <v>451</v>
      </c>
      <c r="C10" s="129" t="s">
        <v>1014</v>
      </c>
      <c r="D10" s="129" t="s">
        <v>481</v>
      </c>
      <c r="E10" s="129" t="s">
        <v>482</v>
      </c>
      <c r="F10" s="129" t="s">
        <v>483</v>
      </c>
      <c r="G10" s="129"/>
      <c r="H10" s="129" t="s">
        <v>28</v>
      </c>
      <c r="I10" s="129"/>
      <c r="J10" s="8"/>
      <c r="K10" s="8"/>
      <c r="L10" s="8"/>
      <c r="M10" s="8"/>
      <c r="N10" s="8"/>
      <c r="O10" s="8"/>
      <c r="P10" s="8"/>
      <c r="Q10" s="8"/>
      <c r="R10" s="8"/>
      <c r="S10" s="8"/>
      <c r="T10" s="8"/>
      <c r="U10" s="8"/>
      <c r="V10" s="8"/>
      <c r="W10" s="8"/>
      <c r="X10" s="8"/>
      <c r="Y10" s="8"/>
      <c r="Z10" s="8"/>
      <c r="AA10" s="49"/>
      <c r="AB10" s="49"/>
    </row>
    <row r="11" spans="1:28" ht="57" x14ac:dyDescent="0.2">
      <c r="A11" s="129" t="s">
        <v>452</v>
      </c>
      <c r="B11" s="129" t="s">
        <v>1005</v>
      </c>
      <c r="C11" s="129" t="s">
        <v>1014</v>
      </c>
      <c r="D11" s="129" t="s">
        <v>484</v>
      </c>
      <c r="E11" s="129" t="s">
        <v>485</v>
      </c>
      <c r="F11" s="129" t="s">
        <v>1026</v>
      </c>
      <c r="G11" s="129"/>
      <c r="H11" s="129" t="s">
        <v>28</v>
      </c>
      <c r="I11" s="129"/>
      <c r="J11" s="8"/>
      <c r="K11" s="8"/>
      <c r="L11" s="8"/>
      <c r="M11" s="8"/>
      <c r="N11" s="8"/>
      <c r="O11" s="8"/>
      <c r="P11" s="8"/>
      <c r="Q11" s="8"/>
      <c r="R11" s="8"/>
      <c r="S11" s="8"/>
      <c r="T11" s="8"/>
      <c r="U11" s="8"/>
      <c r="V11" s="8"/>
      <c r="W11" s="8"/>
      <c r="X11" s="8"/>
      <c r="Y11" s="49"/>
      <c r="Z11" s="49"/>
      <c r="AA11" s="49"/>
      <c r="AB11" s="49"/>
    </row>
    <row r="12" spans="1:28" ht="57" x14ac:dyDescent="0.2">
      <c r="A12" s="129" t="s">
        <v>453</v>
      </c>
      <c r="B12" s="129" t="s">
        <v>1015</v>
      </c>
      <c r="C12" s="129" t="s">
        <v>1014</v>
      </c>
      <c r="D12" s="129" t="s">
        <v>486</v>
      </c>
      <c r="E12" s="129" t="s">
        <v>487</v>
      </c>
      <c r="F12" s="129" t="s">
        <v>1027</v>
      </c>
      <c r="G12" s="129"/>
      <c r="H12" s="129" t="s">
        <v>28</v>
      </c>
      <c r="I12" s="129"/>
      <c r="J12" s="8"/>
      <c r="K12" s="8"/>
      <c r="L12" s="8"/>
      <c r="M12" s="8"/>
      <c r="N12" s="8"/>
      <c r="O12" s="8"/>
      <c r="P12" s="8"/>
      <c r="Q12" s="8"/>
      <c r="R12" s="8"/>
      <c r="S12" s="8"/>
      <c r="T12" s="8"/>
      <c r="U12" s="8"/>
      <c r="V12" s="8"/>
      <c r="W12" s="8"/>
      <c r="X12" s="8"/>
      <c r="Y12" s="49"/>
      <c r="Z12" s="49"/>
      <c r="AA12" s="49"/>
      <c r="AB12" s="49"/>
    </row>
    <row r="13" spans="1:28" ht="57" x14ac:dyDescent="0.2">
      <c r="A13" s="129" t="s">
        <v>454</v>
      </c>
      <c r="B13" s="129" t="s">
        <v>1016</v>
      </c>
      <c r="C13" s="129" t="s">
        <v>1014</v>
      </c>
      <c r="D13" s="129" t="s">
        <v>488</v>
      </c>
      <c r="E13" s="129" t="s">
        <v>489</v>
      </c>
      <c r="F13" s="129" t="s">
        <v>669</v>
      </c>
      <c r="G13" s="129"/>
      <c r="H13" s="129" t="s">
        <v>28</v>
      </c>
      <c r="I13" s="129"/>
      <c r="J13" s="8"/>
      <c r="K13" s="8"/>
      <c r="L13" s="8"/>
      <c r="M13" s="8"/>
      <c r="N13" s="8"/>
      <c r="O13" s="8"/>
      <c r="P13" s="8"/>
      <c r="Q13" s="8"/>
      <c r="R13" s="8"/>
      <c r="S13" s="8"/>
      <c r="T13" s="8"/>
      <c r="U13" s="8"/>
      <c r="V13" s="8"/>
      <c r="W13" s="8"/>
      <c r="X13" s="8"/>
      <c r="Y13" s="49"/>
      <c r="Z13" s="49"/>
      <c r="AA13" s="49"/>
      <c r="AB13" s="49"/>
    </row>
    <row r="14" spans="1:28" ht="57" x14ac:dyDescent="0.2">
      <c r="A14" s="129" t="s">
        <v>455</v>
      </c>
      <c r="B14" s="129" t="s">
        <v>1006</v>
      </c>
      <c r="C14" s="129" t="s">
        <v>1014</v>
      </c>
      <c r="D14" s="129" t="s">
        <v>490</v>
      </c>
      <c r="E14" s="129" t="s">
        <v>491</v>
      </c>
      <c r="F14" s="129" t="s">
        <v>1028</v>
      </c>
      <c r="G14" s="129"/>
      <c r="H14" s="129" t="s">
        <v>28</v>
      </c>
      <c r="I14" s="129"/>
      <c r="J14" s="8"/>
      <c r="K14" s="8"/>
      <c r="L14" s="8"/>
      <c r="M14" s="8"/>
      <c r="N14" s="8"/>
      <c r="O14" s="8"/>
      <c r="P14" s="8"/>
      <c r="Q14" s="8"/>
      <c r="R14" s="8"/>
      <c r="S14" s="8"/>
      <c r="T14" s="8"/>
      <c r="U14" s="8"/>
      <c r="V14" s="8"/>
      <c r="W14" s="8"/>
      <c r="X14" s="8"/>
      <c r="Y14" s="8"/>
      <c r="Z14" s="8"/>
      <c r="AA14" s="49"/>
      <c r="AB14" s="49"/>
    </row>
    <row r="15" spans="1:28" ht="57" x14ac:dyDescent="0.2">
      <c r="A15" s="129" t="s">
        <v>456</v>
      </c>
      <c r="B15" s="129" t="s">
        <v>1007</v>
      </c>
      <c r="C15" s="129" t="s">
        <v>1018</v>
      </c>
      <c r="D15" s="129" t="s">
        <v>492</v>
      </c>
      <c r="E15" s="129"/>
      <c r="F15" s="129" t="s">
        <v>1019</v>
      </c>
      <c r="G15" s="129"/>
      <c r="H15" s="129" t="s">
        <v>28</v>
      </c>
      <c r="I15" s="129"/>
      <c r="J15" s="73"/>
      <c r="K15" s="73"/>
      <c r="L15" s="73"/>
      <c r="M15" s="73"/>
      <c r="N15" s="73"/>
      <c r="O15" s="73"/>
      <c r="P15" s="73"/>
      <c r="Q15" s="73"/>
      <c r="R15" s="73"/>
      <c r="S15" s="73"/>
      <c r="T15" s="73"/>
      <c r="U15" s="73"/>
      <c r="V15" s="73"/>
      <c r="W15" s="73"/>
      <c r="X15" s="73"/>
      <c r="Y15" s="49"/>
      <c r="Z15" s="49"/>
      <c r="AA15" s="49"/>
      <c r="AB15" s="49"/>
    </row>
    <row r="16" spans="1:28" ht="57" x14ac:dyDescent="0.2">
      <c r="A16" s="129" t="s">
        <v>457</v>
      </c>
      <c r="B16" s="129" t="s">
        <v>1008</v>
      </c>
      <c r="C16" s="129" t="s">
        <v>1017</v>
      </c>
      <c r="D16" s="129" t="s">
        <v>493</v>
      </c>
      <c r="E16" s="129"/>
      <c r="F16" s="129" t="s">
        <v>1020</v>
      </c>
      <c r="G16" s="129"/>
      <c r="H16" s="129" t="s">
        <v>28</v>
      </c>
      <c r="I16" s="129"/>
      <c r="J16" s="73"/>
      <c r="K16" s="73"/>
      <c r="L16" s="73"/>
      <c r="M16" s="73"/>
      <c r="N16" s="73"/>
      <c r="O16" s="73"/>
      <c r="P16" s="73"/>
      <c r="Q16" s="73"/>
      <c r="R16" s="73"/>
      <c r="S16" s="73"/>
      <c r="T16" s="73"/>
      <c r="U16" s="73"/>
      <c r="V16" s="73"/>
      <c r="W16" s="73"/>
      <c r="X16" s="73"/>
      <c r="Y16" s="49"/>
      <c r="Z16" s="49"/>
      <c r="AA16" s="49"/>
      <c r="AB16" s="49"/>
    </row>
    <row r="17" spans="1:28" ht="42.75" x14ac:dyDescent="0.2">
      <c r="A17" s="129" t="s">
        <v>458</v>
      </c>
      <c r="B17" s="129" t="s">
        <v>1009</v>
      </c>
      <c r="C17" s="129" t="s">
        <v>1022</v>
      </c>
      <c r="D17" s="129" t="s">
        <v>494</v>
      </c>
      <c r="E17" s="129"/>
      <c r="F17" s="129" t="s">
        <v>1021</v>
      </c>
      <c r="G17" s="129"/>
      <c r="H17" s="129" t="s">
        <v>28</v>
      </c>
      <c r="I17" s="129"/>
      <c r="J17" s="8"/>
      <c r="K17" s="8"/>
      <c r="L17" s="8"/>
      <c r="M17" s="8"/>
      <c r="N17" s="8"/>
      <c r="O17" s="8"/>
      <c r="P17" s="8"/>
      <c r="Q17" s="8"/>
      <c r="R17" s="8"/>
      <c r="S17" s="8"/>
      <c r="T17" s="8"/>
      <c r="U17" s="8"/>
      <c r="V17" s="8"/>
      <c r="W17" s="8"/>
      <c r="X17" s="8"/>
      <c r="Y17" s="49"/>
      <c r="Z17" s="49"/>
      <c r="AA17" s="49"/>
      <c r="AB17" s="49"/>
    </row>
    <row r="18" spans="1:28" ht="42.75" x14ac:dyDescent="0.2">
      <c r="A18" s="129" t="s">
        <v>459</v>
      </c>
      <c r="B18" s="129" t="s">
        <v>461</v>
      </c>
      <c r="C18" s="129" t="s">
        <v>905</v>
      </c>
      <c r="D18" s="129" t="s">
        <v>495</v>
      </c>
      <c r="E18" s="129"/>
      <c r="F18" s="129" t="s">
        <v>1019</v>
      </c>
      <c r="G18" s="129"/>
      <c r="H18" s="129" t="s">
        <v>28</v>
      </c>
      <c r="I18" s="129"/>
      <c r="J18" s="8"/>
      <c r="K18" s="8"/>
      <c r="L18" s="8"/>
      <c r="M18" s="8"/>
      <c r="N18" s="8"/>
      <c r="O18" s="8"/>
      <c r="P18" s="8"/>
      <c r="Q18" s="8"/>
      <c r="R18" s="8"/>
      <c r="S18" s="8"/>
      <c r="T18" s="8"/>
      <c r="U18" s="8"/>
      <c r="V18" s="8"/>
      <c r="W18" s="8"/>
      <c r="X18" s="8"/>
      <c r="Y18" s="49"/>
      <c r="Z18" s="49"/>
      <c r="AA18" s="49"/>
      <c r="AB18" s="49"/>
    </row>
    <row r="19" spans="1:28" ht="71.25" x14ac:dyDescent="0.2">
      <c r="A19" s="129" t="s">
        <v>460</v>
      </c>
      <c r="B19" s="129" t="s">
        <v>463</v>
      </c>
      <c r="C19" s="129" t="s">
        <v>1023</v>
      </c>
      <c r="D19" s="129" t="s">
        <v>496</v>
      </c>
      <c r="E19" s="129" t="s">
        <v>497</v>
      </c>
      <c r="F19" s="129" t="s">
        <v>1029</v>
      </c>
      <c r="G19" s="129"/>
      <c r="H19" s="129" t="s">
        <v>28</v>
      </c>
      <c r="I19" s="129"/>
      <c r="J19" s="8"/>
      <c r="K19" s="8"/>
      <c r="L19" s="8"/>
      <c r="M19" s="8"/>
      <c r="N19" s="8"/>
      <c r="O19" s="8"/>
      <c r="P19" s="8"/>
      <c r="Q19" s="8"/>
      <c r="R19" s="8"/>
      <c r="S19" s="8"/>
      <c r="T19" s="8"/>
      <c r="U19" s="8"/>
      <c r="V19" s="8"/>
      <c r="W19" s="8"/>
      <c r="X19" s="8"/>
      <c r="Y19" s="49"/>
      <c r="Z19" s="49"/>
      <c r="AA19" s="49"/>
      <c r="AB19" s="49"/>
    </row>
    <row r="20" spans="1:28" ht="71.25" x14ac:dyDescent="0.2">
      <c r="A20" s="129" t="s">
        <v>462</v>
      </c>
      <c r="B20" s="129" t="s">
        <v>1010</v>
      </c>
      <c r="C20" s="129" t="s">
        <v>1011</v>
      </c>
      <c r="D20" s="129" t="s">
        <v>1012</v>
      </c>
      <c r="E20" s="129"/>
      <c r="F20" s="129" t="s">
        <v>1013</v>
      </c>
      <c r="G20" s="129"/>
      <c r="H20" s="129" t="s">
        <v>28</v>
      </c>
      <c r="I20" s="129"/>
      <c r="J20" s="8"/>
      <c r="K20" s="8"/>
      <c r="L20" s="8"/>
      <c r="M20" s="8"/>
      <c r="N20" s="8"/>
      <c r="O20" s="8"/>
      <c r="P20" s="8"/>
      <c r="Q20" s="8"/>
      <c r="R20" s="8"/>
      <c r="S20" s="8"/>
      <c r="T20" s="8"/>
      <c r="U20" s="8"/>
      <c r="V20" s="8"/>
      <c r="W20" s="8"/>
      <c r="X20" s="8"/>
      <c r="Y20" s="49"/>
      <c r="Z20" s="49"/>
      <c r="AA20" s="49"/>
      <c r="AB20" s="49"/>
    </row>
    <row r="21" spans="1:28" ht="57" x14ac:dyDescent="0.2">
      <c r="A21" s="129" t="s">
        <v>464</v>
      </c>
      <c r="B21" s="129" t="s">
        <v>476</v>
      </c>
      <c r="C21" s="129" t="s">
        <v>447</v>
      </c>
      <c r="D21" s="129" t="s">
        <v>498</v>
      </c>
      <c r="E21" s="129" t="s">
        <v>725</v>
      </c>
      <c r="F21" s="129" t="s">
        <v>1030</v>
      </c>
      <c r="G21" s="129"/>
      <c r="H21" s="129" t="s">
        <v>25</v>
      </c>
      <c r="I21" s="129"/>
      <c r="J21" s="8"/>
      <c r="K21" s="8"/>
      <c r="L21" s="8"/>
      <c r="M21" s="8"/>
      <c r="N21" s="8"/>
      <c r="O21" s="8"/>
      <c r="P21" s="8"/>
      <c r="Q21" s="8"/>
      <c r="R21" s="8"/>
      <c r="S21" s="8"/>
      <c r="T21" s="8"/>
      <c r="U21" s="8"/>
      <c r="V21" s="8"/>
      <c r="W21" s="8"/>
      <c r="X21" s="8"/>
      <c r="Y21" s="49"/>
      <c r="Z21" s="49"/>
      <c r="AA21" s="49"/>
      <c r="AB21" s="49"/>
    </row>
    <row r="22" spans="1:28" ht="15" x14ac:dyDescent="0.2">
      <c r="A22" s="180" t="s">
        <v>86</v>
      </c>
      <c r="B22" s="180"/>
      <c r="C22" s="180"/>
      <c r="D22" s="180"/>
      <c r="E22" s="180"/>
      <c r="F22" s="180"/>
      <c r="G22" s="180"/>
      <c r="H22" s="180"/>
      <c r="I22" s="130"/>
      <c r="J22" s="8"/>
      <c r="K22" s="8"/>
      <c r="L22" s="8"/>
      <c r="M22" s="8"/>
      <c r="N22" s="8"/>
      <c r="O22" s="8"/>
      <c r="P22" s="8"/>
      <c r="Q22" s="8"/>
      <c r="R22" s="8"/>
      <c r="S22" s="8"/>
      <c r="T22" s="8"/>
      <c r="U22" s="8"/>
      <c r="V22" s="8"/>
      <c r="W22" s="8"/>
      <c r="X22" s="8"/>
      <c r="Y22" s="49"/>
      <c r="Z22" s="49"/>
      <c r="AA22" s="49"/>
      <c r="AB22" s="49"/>
    </row>
    <row r="23" spans="1:28" ht="57" x14ac:dyDescent="0.2">
      <c r="A23" s="129" t="s">
        <v>466</v>
      </c>
      <c r="B23" s="129" t="s">
        <v>465</v>
      </c>
      <c r="C23" s="129" t="s">
        <v>1024</v>
      </c>
      <c r="D23" s="129" t="s">
        <v>499</v>
      </c>
      <c r="E23" s="129"/>
      <c r="F23" s="129" t="s">
        <v>500</v>
      </c>
      <c r="G23" s="129"/>
      <c r="H23" s="129" t="s">
        <v>25</v>
      </c>
      <c r="I23" s="129"/>
      <c r="J23" s="8"/>
      <c r="K23" s="8"/>
      <c r="L23" s="8"/>
      <c r="M23" s="8"/>
      <c r="N23" s="8"/>
      <c r="O23" s="8"/>
      <c r="P23" s="8"/>
      <c r="Q23" s="8"/>
      <c r="R23" s="8"/>
      <c r="S23" s="8"/>
      <c r="T23" s="8"/>
      <c r="U23" s="8"/>
      <c r="V23" s="8"/>
      <c r="W23" s="8"/>
      <c r="X23" s="8"/>
      <c r="Y23" s="49"/>
      <c r="Z23" s="49"/>
      <c r="AA23" s="49"/>
      <c r="AB23" s="49"/>
    </row>
    <row r="24" spans="1:28" ht="57" x14ac:dyDescent="0.2">
      <c r="A24" s="129" t="s">
        <v>468</v>
      </c>
      <c r="B24" s="129" t="s">
        <v>467</v>
      </c>
      <c r="C24" s="129" t="s">
        <v>1014</v>
      </c>
      <c r="D24" s="129" t="s">
        <v>501</v>
      </c>
      <c r="E24" s="129"/>
      <c r="F24" s="129" t="s">
        <v>502</v>
      </c>
      <c r="G24" s="129"/>
      <c r="H24" s="129" t="s">
        <v>25</v>
      </c>
      <c r="I24" s="129"/>
      <c r="J24" s="8"/>
      <c r="K24" s="8"/>
      <c r="L24" s="8"/>
      <c r="M24" s="8"/>
      <c r="N24" s="8"/>
      <c r="O24" s="8"/>
      <c r="P24" s="8"/>
      <c r="Q24" s="8"/>
      <c r="R24" s="8"/>
      <c r="S24" s="8"/>
      <c r="T24" s="8"/>
      <c r="U24" s="8"/>
      <c r="V24" s="8"/>
      <c r="W24" s="8"/>
      <c r="X24" s="8"/>
      <c r="Y24" s="49"/>
      <c r="Z24" s="49"/>
      <c r="AA24" s="49"/>
      <c r="AB24" s="49"/>
    </row>
    <row r="25" spans="1:28" ht="57" x14ac:dyDescent="0.2">
      <c r="A25" s="129" t="s">
        <v>470</v>
      </c>
      <c r="B25" s="129" t="s">
        <v>469</v>
      </c>
      <c r="C25" s="129" t="s">
        <v>1014</v>
      </c>
      <c r="D25" s="129" t="s">
        <v>503</v>
      </c>
      <c r="E25" s="129"/>
      <c r="F25" s="129" t="s">
        <v>1031</v>
      </c>
      <c r="G25" s="129"/>
      <c r="H25" s="129" t="s">
        <v>25</v>
      </c>
      <c r="I25" s="129"/>
      <c r="J25" s="8"/>
      <c r="K25" s="8"/>
      <c r="L25" s="8"/>
      <c r="M25" s="8"/>
      <c r="N25" s="8"/>
      <c r="O25" s="8"/>
      <c r="P25" s="8"/>
      <c r="Q25" s="8"/>
      <c r="R25" s="8"/>
      <c r="S25" s="8"/>
      <c r="T25" s="8"/>
      <c r="U25" s="8"/>
      <c r="V25" s="8"/>
      <c r="W25" s="8"/>
      <c r="X25" s="8"/>
      <c r="Y25" s="49"/>
      <c r="Z25" s="49"/>
      <c r="AA25" s="49"/>
      <c r="AB25" s="49"/>
    </row>
    <row r="26" spans="1:28" ht="57" x14ac:dyDescent="0.2">
      <c r="A26" s="129" t="s">
        <v>472</v>
      </c>
      <c r="B26" s="129" t="s">
        <v>471</v>
      </c>
      <c r="C26" s="129" t="s">
        <v>1014</v>
      </c>
      <c r="D26" s="129" t="s">
        <v>504</v>
      </c>
      <c r="E26" s="129"/>
      <c r="F26" s="129" t="s">
        <v>976</v>
      </c>
      <c r="G26" s="129"/>
      <c r="H26" s="129" t="s">
        <v>25</v>
      </c>
      <c r="I26" s="129"/>
      <c r="J26" s="8"/>
      <c r="K26" s="8"/>
      <c r="L26" s="8"/>
      <c r="M26" s="8"/>
      <c r="N26" s="8"/>
      <c r="O26" s="8"/>
      <c r="P26" s="8"/>
      <c r="Q26" s="8"/>
      <c r="R26" s="8"/>
      <c r="S26" s="8"/>
      <c r="T26" s="8"/>
      <c r="U26" s="8"/>
      <c r="V26" s="8"/>
      <c r="W26" s="8"/>
      <c r="X26" s="8"/>
      <c r="Y26" s="49"/>
      <c r="Z26" s="49"/>
      <c r="AA26" s="49"/>
      <c r="AB26" s="49"/>
    </row>
    <row r="27" spans="1:28" ht="85.5" x14ac:dyDescent="0.2">
      <c r="A27" s="129" t="s">
        <v>479</v>
      </c>
      <c r="B27" s="129" t="s">
        <v>473</v>
      </c>
      <c r="C27" s="129" t="s">
        <v>505</v>
      </c>
      <c r="D27" s="129" t="s">
        <v>506</v>
      </c>
      <c r="E27" s="129"/>
      <c r="F27" s="129" t="s">
        <v>1032</v>
      </c>
      <c r="G27" s="129"/>
      <c r="H27" s="129" t="s">
        <v>25</v>
      </c>
      <c r="I27" s="129"/>
      <c r="J27" s="8"/>
      <c r="K27" s="8"/>
      <c r="L27" s="8"/>
      <c r="M27" s="8"/>
      <c r="N27" s="8"/>
      <c r="O27" s="8"/>
      <c r="P27" s="8"/>
      <c r="Q27" s="8"/>
      <c r="R27" s="8"/>
      <c r="S27" s="8"/>
      <c r="T27" s="8"/>
      <c r="U27" s="8"/>
      <c r="V27" s="8"/>
      <c r="W27" s="8"/>
      <c r="X27" s="8"/>
      <c r="Y27" s="49"/>
      <c r="Z27" s="49"/>
      <c r="AA27" s="49"/>
      <c r="AB27" s="49"/>
    </row>
    <row r="28" spans="1:28" ht="15" x14ac:dyDescent="0.2">
      <c r="A28" s="180" t="s">
        <v>160</v>
      </c>
      <c r="B28" s="180"/>
      <c r="C28" s="180"/>
      <c r="D28" s="180"/>
      <c r="E28" s="180"/>
      <c r="F28" s="180"/>
      <c r="G28" s="180"/>
      <c r="H28" s="180"/>
      <c r="I28" s="130"/>
      <c r="J28" s="8"/>
      <c r="K28" s="8"/>
      <c r="L28" s="8"/>
      <c r="M28" s="8"/>
      <c r="N28" s="8"/>
      <c r="O28" s="8"/>
      <c r="P28" s="8"/>
      <c r="Q28" s="8"/>
      <c r="R28" s="8"/>
      <c r="S28" s="8"/>
      <c r="T28" s="8"/>
      <c r="U28" s="8"/>
      <c r="V28" s="8"/>
      <c r="W28" s="8"/>
      <c r="X28" s="8"/>
      <c r="Y28" s="49"/>
      <c r="Z28" s="49"/>
      <c r="AA28" s="49"/>
      <c r="AB28" s="49"/>
    </row>
    <row r="29" spans="1:28" ht="71.25" x14ac:dyDescent="0.2">
      <c r="A29" s="129" t="s">
        <v>474</v>
      </c>
      <c r="B29" s="129" t="s">
        <v>477</v>
      </c>
      <c r="C29" s="129" t="s">
        <v>1014</v>
      </c>
      <c r="D29" s="129" t="s">
        <v>507</v>
      </c>
      <c r="E29" s="129"/>
      <c r="F29" s="129" t="s">
        <v>1033</v>
      </c>
      <c r="G29" s="129"/>
      <c r="H29" s="129" t="s">
        <v>28</v>
      </c>
      <c r="I29" s="129"/>
      <c r="J29" s="8"/>
      <c r="K29" s="8"/>
      <c r="L29" s="8"/>
      <c r="M29" s="8"/>
      <c r="N29" s="8"/>
      <c r="O29" s="8"/>
      <c r="P29" s="8"/>
      <c r="Q29" s="8"/>
      <c r="R29" s="8"/>
      <c r="S29" s="8"/>
      <c r="T29" s="8"/>
      <c r="U29" s="8"/>
      <c r="V29" s="8"/>
      <c r="W29" s="8"/>
      <c r="X29" s="8"/>
      <c r="Y29" s="49"/>
      <c r="Z29" s="49"/>
      <c r="AA29" s="49"/>
      <c r="AB29" s="49"/>
    </row>
    <row r="30" spans="1:28" ht="71.25" x14ac:dyDescent="0.2">
      <c r="A30" s="129" t="s">
        <v>475</v>
      </c>
      <c r="B30" s="129" t="s">
        <v>478</v>
      </c>
      <c r="C30" s="129" t="s">
        <v>1025</v>
      </c>
      <c r="D30" s="129" t="s">
        <v>1036</v>
      </c>
      <c r="E30" s="129"/>
      <c r="F30" s="129" t="s">
        <v>1034</v>
      </c>
      <c r="G30" s="129"/>
      <c r="H30" s="129" t="s">
        <v>28</v>
      </c>
      <c r="I30" s="129"/>
      <c r="J30" s="8"/>
      <c r="K30" s="8"/>
      <c r="L30" s="8"/>
      <c r="M30" s="8"/>
      <c r="N30" s="8"/>
      <c r="O30" s="8"/>
      <c r="P30" s="8"/>
      <c r="Q30" s="8"/>
      <c r="R30" s="8"/>
      <c r="S30" s="8"/>
      <c r="T30" s="8"/>
      <c r="U30" s="8"/>
      <c r="V30" s="8"/>
      <c r="W30" s="8"/>
      <c r="X30" s="8"/>
      <c r="Y30" s="49"/>
      <c r="Z30" s="49"/>
      <c r="AA30" s="49"/>
      <c r="AB30" s="49"/>
    </row>
    <row r="31" spans="1:28" ht="57" x14ac:dyDescent="0.2">
      <c r="A31" s="129" t="s">
        <v>480</v>
      </c>
      <c r="B31" s="129" t="s">
        <v>1004</v>
      </c>
      <c r="C31" s="129" t="s">
        <v>1014</v>
      </c>
      <c r="D31" s="129" t="s">
        <v>508</v>
      </c>
      <c r="E31" s="129"/>
      <c r="F31" s="129" t="s">
        <v>1035</v>
      </c>
      <c r="G31" s="129"/>
      <c r="H31" s="129" t="s">
        <v>28</v>
      </c>
      <c r="I31" s="129"/>
      <c r="J31" s="8"/>
      <c r="K31" s="8"/>
      <c r="L31" s="8"/>
      <c r="M31" s="8"/>
      <c r="N31" s="8"/>
      <c r="O31" s="8"/>
      <c r="P31" s="8"/>
      <c r="Q31" s="8"/>
      <c r="R31" s="8"/>
      <c r="S31" s="8"/>
      <c r="T31" s="8"/>
      <c r="U31" s="8"/>
      <c r="V31" s="8"/>
      <c r="W31" s="8"/>
      <c r="X31" s="8"/>
      <c r="Y31" s="49"/>
      <c r="Z31" s="49"/>
      <c r="AA31" s="49"/>
      <c r="AB31" s="49"/>
    </row>
    <row r="32" spans="1:28" ht="14.25" x14ac:dyDescent="0.2">
      <c r="A32" s="8"/>
      <c r="B32" s="8"/>
      <c r="C32" s="8"/>
      <c r="D32" s="8"/>
      <c r="E32" s="8"/>
      <c r="F32" s="8"/>
      <c r="G32" s="8"/>
      <c r="H32" s="8"/>
      <c r="I32" s="8"/>
      <c r="J32" s="8"/>
      <c r="K32" s="8"/>
      <c r="L32" s="8"/>
      <c r="M32" s="8"/>
      <c r="N32" s="8"/>
      <c r="O32" s="8"/>
      <c r="P32" s="8"/>
      <c r="Q32" s="8"/>
      <c r="R32" s="8"/>
      <c r="S32" s="8"/>
      <c r="T32" s="8"/>
      <c r="U32" s="8"/>
      <c r="V32" s="8"/>
      <c r="W32" s="8"/>
      <c r="X32" s="8"/>
      <c r="Y32" s="49"/>
      <c r="Z32" s="49"/>
      <c r="AA32" s="49"/>
      <c r="AB32" s="49"/>
    </row>
    <row r="33" spans="1:28" ht="14.25" x14ac:dyDescent="0.2">
      <c r="A33" s="8"/>
      <c r="B33" s="8"/>
      <c r="C33" s="8"/>
      <c r="D33" s="8"/>
      <c r="E33" s="8"/>
      <c r="F33" s="8"/>
      <c r="G33" s="8"/>
      <c r="H33" s="8"/>
      <c r="I33" s="8"/>
      <c r="J33" s="8"/>
      <c r="K33" s="8"/>
      <c r="L33" s="8"/>
      <c r="M33" s="8"/>
      <c r="N33" s="8"/>
      <c r="O33" s="8"/>
      <c r="P33" s="8"/>
      <c r="Q33" s="8"/>
      <c r="R33" s="8"/>
      <c r="S33" s="8"/>
      <c r="T33" s="8"/>
      <c r="U33" s="8"/>
      <c r="V33" s="8"/>
      <c r="W33" s="8"/>
      <c r="X33" s="8"/>
      <c r="Y33" s="49"/>
      <c r="Z33" s="49"/>
      <c r="AA33" s="49"/>
      <c r="AB33" s="49"/>
    </row>
    <row r="34" spans="1:28" ht="14.25" x14ac:dyDescent="0.2">
      <c r="A34" s="8"/>
      <c r="B34" s="8"/>
      <c r="C34" s="8"/>
      <c r="D34" s="8"/>
      <c r="E34" s="8"/>
      <c r="F34" s="8"/>
      <c r="G34" s="8"/>
      <c r="H34" s="8"/>
      <c r="I34" s="8"/>
      <c r="J34" s="8"/>
      <c r="K34" s="8"/>
      <c r="L34" s="8"/>
      <c r="M34" s="8"/>
      <c r="N34" s="8"/>
      <c r="O34" s="8"/>
      <c r="P34" s="8"/>
      <c r="Q34" s="8"/>
      <c r="R34" s="8"/>
      <c r="S34" s="8"/>
      <c r="T34" s="8"/>
      <c r="U34" s="8"/>
      <c r="V34" s="8"/>
      <c r="W34" s="8"/>
      <c r="X34" s="8"/>
      <c r="Y34" s="49"/>
      <c r="Z34" s="49"/>
      <c r="AA34" s="49"/>
      <c r="AB34" s="49"/>
    </row>
    <row r="35" spans="1:28" ht="14.25" x14ac:dyDescent="0.2">
      <c r="A35" s="8"/>
      <c r="B35" s="8"/>
      <c r="C35" s="8"/>
      <c r="D35" s="8"/>
      <c r="E35" s="8"/>
      <c r="F35" s="8"/>
      <c r="G35" s="8"/>
      <c r="H35" s="8"/>
      <c r="I35" s="8"/>
      <c r="J35" s="8"/>
      <c r="K35" s="8"/>
      <c r="L35" s="8"/>
      <c r="M35" s="8"/>
      <c r="N35" s="8"/>
      <c r="O35" s="8"/>
      <c r="P35" s="8"/>
      <c r="Q35" s="8"/>
      <c r="R35" s="8"/>
      <c r="S35" s="8"/>
      <c r="T35" s="8"/>
      <c r="U35" s="8"/>
      <c r="V35" s="8"/>
      <c r="W35" s="8"/>
      <c r="X35" s="8"/>
      <c r="Y35" s="49"/>
      <c r="Z35" s="49"/>
      <c r="AA35" s="49"/>
      <c r="AB35" s="49"/>
    </row>
    <row r="36" spans="1:28" ht="14.25" x14ac:dyDescent="0.2">
      <c r="A36" s="8"/>
      <c r="B36" s="8"/>
      <c r="C36" s="8"/>
      <c r="D36" s="8"/>
      <c r="E36" s="8"/>
      <c r="F36" s="8"/>
      <c r="G36" s="8"/>
      <c r="H36" s="8"/>
      <c r="I36" s="8"/>
      <c r="J36" s="8"/>
      <c r="K36" s="8"/>
      <c r="L36" s="8"/>
      <c r="M36" s="8"/>
      <c r="N36" s="8"/>
      <c r="O36" s="8"/>
      <c r="P36" s="8"/>
      <c r="Q36" s="8"/>
      <c r="R36" s="8"/>
      <c r="S36" s="8"/>
      <c r="T36" s="8"/>
      <c r="U36" s="8"/>
      <c r="V36" s="8"/>
      <c r="W36" s="8"/>
      <c r="X36" s="8"/>
      <c r="Y36" s="49"/>
      <c r="Z36" s="49"/>
      <c r="AA36" s="49"/>
      <c r="AB36" s="49"/>
    </row>
    <row r="37" spans="1:28" ht="14.25" x14ac:dyDescent="0.2">
      <c r="A37" s="8"/>
      <c r="B37" s="8"/>
      <c r="C37" s="8"/>
      <c r="D37" s="8"/>
      <c r="E37" s="8"/>
      <c r="F37" s="8"/>
      <c r="G37" s="8"/>
      <c r="H37" s="8"/>
      <c r="I37" s="8"/>
      <c r="J37" s="8"/>
      <c r="K37" s="8"/>
      <c r="L37" s="8"/>
      <c r="M37" s="8"/>
      <c r="N37" s="8"/>
      <c r="O37" s="8"/>
      <c r="P37" s="8"/>
      <c r="Q37" s="8"/>
      <c r="R37" s="8"/>
      <c r="S37" s="8"/>
      <c r="T37" s="8"/>
      <c r="U37" s="8"/>
      <c r="V37" s="8"/>
      <c r="W37" s="8"/>
      <c r="X37" s="8"/>
      <c r="Y37" s="49"/>
      <c r="Z37" s="49"/>
      <c r="AA37" s="49"/>
      <c r="AB37" s="49"/>
    </row>
    <row r="38" spans="1:28" ht="14.25" x14ac:dyDescent="0.2">
      <c r="A38" s="8"/>
      <c r="B38" s="8"/>
      <c r="C38" s="8"/>
      <c r="D38" s="8"/>
      <c r="E38" s="8"/>
      <c r="F38" s="8"/>
      <c r="G38" s="8"/>
      <c r="H38" s="8"/>
      <c r="I38" s="8"/>
      <c r="J38" s="8"/>
      <c r="K38" s="8"/>
      <c r="L38" s="8"/>
      <c r="M38" s="8"/>
      <c r="N38" s="8"/>
      <c r="O38" s="8"/>
      <c r="P38" s="8"/>
      <c r="Q38" s="8"/>
      <c r="R38" s="8"/>
      <c r="S38" s="8"/>
      <c r="T38" s="8"/>
      <c r="U38" s="8"/>
      <c r="V38" s="8"/>
      <c r="W38" s="8"/>
      <c r="X38" s="8"/>
      <c r="Y38" s="49"/>
      <c r="Z38" s="49"/>
      <c r="AA38" s="49"/>
      <c r="AB38" s="49"/>
    </row>
    <row r="39" spans="1:28" ht="14.25" x14ac:dyDescent="0.2">
      <c r="A39" s="8"/>
      <c r="B39" s="8"/>
      <c r="C39" s="8"/>
      <c r="D39" s="8"/>
      <c r="E39" s="8"/>
      <c r="F39" s="8"/>
      <c r="G39" s="8"/>
      <c r="H39" s="8"/>
      <c r="I39" s="8"/>
      <c r="J39" s="8"/>
      <c r="K39" s="8"/>
      <c r="L39" s="8"/>
      <c r="M39" s="8"/>
      <c r="N39" s="8"/>
      <c r="O39" s="8"/>
      <c r="P39" s="8"/>
      <c r="Q39" s="8"/>
      <c r="R39" s="8"/>
      <c r="S39" s="8"/>
      <c r="T39" s="8"/>
      <c r="U39" s="8"/>
      <c r="V39" s="8"/>
      <c r="W39" s="8"/>
      <c r="X39" s="8"/>
      <c r="Y39" s="49"/>
      <c r="Z39" s="49"/>
      <c r="AA39" s="49"/>
      <c r="AB39" s="49"/>
    </row>
    <row r="40" spans="1:28" ht="14.25" x14ac:dyDescent="0.2">
      <c r="A40" s="8"/>
      <c r="B40" s="8"/>
      <c r="C40" s="8"/>
      <c r="D40" s="8"/>
      <c r="E40" s="8"/>
      <c r="F40" s="8"/>
      <c r="G40" s="8"/>
      <c r="H40" s="8"/>
      <c r="I40" s="8"/>
      <c r="J40" s="8"/>
      <c r="K40" s="8"/>
      <c r="L40" s="8"/>
      <c r="M40" s="8"/>
      <c r="N40" s="8"/>
      <c r="O40" s="8"/>
      <c r="P40" s="8"/>
      <c r="Q40" s="8"/>
      <c r="R40" s="8"/>
      <c r="S40" s="8"/>
      <c r="T40" s="8"/>
      <c r="U40" s="8"/>
      <c r="V40" s="8"/>
      <c r="W40" s="8"/>
      <c r="X40" s="8"/>
      <c r="Y40" s="49"/>
      <c r="Z40" s="49"/>
      <c r="AA40" s="49"/>
      <c r="AB40" s="49"/>
    </row>
    <row r="41" spans="1:28" ht="14.25" x14ac:dyDescent="0.2">
      <c r="A41" s="8"/>
      <c r="B41" s="8"/>
      <c r="C41" s="8"/>
      <c r="D41" s="8"/>
      <c r="E41" s="8"/>
      <c r="F41" s="8"/>
      <c r="G41" s="8"/>
      <c r="H41" s="8"/>
      <c r="I41" s="8"/>
      <c r="J41" s="8"/>
      <c r="K41" s="8"/>
      <c r="L41" s="8"/>
      <c r="M41" s="8"/>
      <c r="N41" s="8"/>
      <c r="O41" s="8"/>
      <c r="P41" s="8"/>
      <c r="Q41" s="8"/>
      <c r="R41" s="8"/>
      <c r="S41" s="8"/>
      <c r="T41" s="8"/>
      <c r="U41" s="8"/>
      <c r="V41" s="8"/>
      <c r="W41" s="8"/>
      <c r="X41" s="8"/>
      <c r="Y41" s="49"/>
      <c r="Z41" s="49"/>
      <c r="AA41" s="49"/>
      <c r="AB41" s="49"/>
    </row>
    <row r="42" spans="1:28" ht="14.25" x14ac:dyDescent="0.2">
      <c r="A42" s="8"/>
      <c r="B42" s="8"/>
      <c r="C42" s="8"/>
      <c r="D42" s="8"/>
      <c r="E42" s="8"/>
      <c r="F42" s="8"/>
      <c r="G42" s="8"/>
      <c r="H42" s="8"/>
      <c r="I42" s="8"/>
      <c r="J42" s="8"/>
      <c r="K42" s="8"/>
      <c r="L42" s="8"/>
      <c r="M42" s="8"/>
      <c r="N42" s="8"/>
      <c r="O42" s="8"/>
      <c r="P42" s="8"/>
      <c r="Q42" s="8"/>
      <c r="R42" s="8"/>
      <c r="S42" s="8"/>
      <c r="T42" s="8"/>
      <c r="U42" s="8"/>
      <c r="V42" s="8"/>
      <c r="W42" s="8"/>
      <c r="X42" s="8"/>
      <c r="Y42" s="49"/>
      <c r="Z42" s="49"/>
      <c r="AA42" s="49"/>
      <c r="AB42" s="49"/>
    </row>
    <row r="43" spans="1:28" ht="14.25" x14ac:dyDescent="0.2">
      <c r="A43" s="8"/>
      <c r="B43" s="8"/>
      <c r="C43" s="8"/>
      <c r="D43" s="8"/>
      <c r="E43" s="8"/>
      <c r="F43" s="8"/>
      <c r="G43" s="8"/>
      <c r="H43" s="8"/>
      <c r="I43" s="8"/>
      <c r="J43" s="8"/>
      <c r="K43" s="8"/>
      <c r="L43" s="8"/>
      <c r="M43" s="8"/>
      <c r="N43" s="8"/>
      <c r="O43" s="8"/>
      <c r="P43" s="8"/>
      <c r="Q43" s="8"/>
      <c r="R43" s="8"/>
      <c r="S43" s="8"/>
      <c r="T43" s="8"/>
      <c r="U43" s="8"/>
      <c r="V43" s="8"/>
      <c r="W43" s="8"/>
      <c r="X43" s="8"/>
      <c r="Y43" s="49"/>
      <c r="Z43" s="49"/>
      <c r="AA43" s="49"/>
      <c r="AB43" s="49"/>
    </row>
    <row r="44" spans="1:28" ht="14.25" x14ac:dyDescent="0.2">
      <c r="A44" s="8"/>
      <c r="B44" s="8"/>
      <c r="C44" s="8"/>
      <c r="D44" s="8"/>
      <c r="E44" s="8"/>
      <c r="F44" s="8"/>
      <c r="G44" s="8"/>
      <c r="H44" s="8"/>
      <c r="I44" s="8"/>
      <c r="J44" s="8"/>
      <c r="K44" s="8"/>
      <c r="L44" s="8"/>
      <c r="M44" s="8"/>
      <c r="N44" s="8"/>
      <c r="O44" s="8"/>
      <c r="P44" s="8"/>
      <c r="Q44" s="8"/>
      <c r="R44" s="8"/>
      <c r="S44" s="8"/>
      <c r="T44" s="8"/>
      <c r="U44" s="8"/>
      <c r="V44" s="8"/>
      <c r="W44" s="8"/>
      <c r="X44" s="8"/>
      <c r="Y44" s="49"/>
      <c r="Z44" s="49"/>
      <c r="AA44" s="49"/>
      <c r="AB44" s="49"/>
    </row>
    <row r="45" spans="1:28" ht="14.25"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4.25"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4.25"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4.25"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4.25"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4.25"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4.25"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4.25"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4.25"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4.25"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4.25"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4.25"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4.25"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4.25"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4.25"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4.25"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4.25"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4.25"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4.25"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4.25"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4.25"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4.25"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4.25"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4.25"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4.25"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4.25"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4.25"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4.25"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4.25"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4.25"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4.25"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4.25"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4.25"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4.25"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4.25"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4.25"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4.25"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4.25"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4.25"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4.25"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4.25"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4.25"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4.25"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4.25"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4.25"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4.25"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4.25"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4.25"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4.25"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4.25"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4.25"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4.25"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4.25"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4.25"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4.25"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4.25"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4.25"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4.25"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4.25"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4.25"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4.25"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4.25"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4.25"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4.25"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4.25"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4.25"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4.25"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4.25"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4.25"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4.25"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4.25"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4.25"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4.25"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4.25"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4.25"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4.25"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4.25"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4.25"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4.25"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4.25"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4.25"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4.25"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4.25"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4.25"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4.25"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4.25"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4.25"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4.25"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4.25"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4.25"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4.25"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4.25"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4.25"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4.25"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4.25"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4.25"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4.25"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4.25"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4.25"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4.25"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4.25"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4.25"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4.25"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4.25"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4.25"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4.25"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4.25"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4.25"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4.25"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4.25"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4.25"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4.25"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4.25"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4.25"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4.25"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4.25"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4.25"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4.25"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4.25"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4.25"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4.25"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4.25"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4.25"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4.25"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4.25"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4.25"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4.25"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4.25"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4.25"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4.25"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4.25"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4.25"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4.25"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4.25"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4.25"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4.25"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4.25"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4.25"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4.25"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4.25"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4.25"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4.25"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4.25"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4.25"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49"/>
      <c r="Z188" s="49"/>
      <c r="AA188" s="49"/>
      <c r="AB188" s="49"/>
    </row>
    <row r="189" spans="1:28" ht="14.25"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49"/>
      <c r="Z189" s="49"/>
      <c r="AA189" s="49"/>
      <c r="AB189" s="49"/>
    </row>
    <row r="190" spans="1:28" ht="14.25"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49"/>
      <c r="Z190" s="49"/>
      <c r="AA190" s="49"/>
      <c r="AB190" s="49"/>
    </row>
    <row r="191" spans="1:28" ht="14.25"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49"/>
      <c r="Z191" s="49"/>
      <c r="AA191" s="49"/>
      <c r="AB191" s="49"/>
    </row>
    <row r="192" spans="1:28" ht="14.25"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49"/>
      <c r="Z192" s="49"/>
      <c r="AA192" s="49"/>
      <c r="AB192" s="49"/>
    </row>
    <row r="193" spans="1:28" ht="14.25" x14ac:dyDescent="0.2">
      <c r="A193" s="8"/>
      <c r="B193" s="8"/>
      <c r="C193" s="8"/>
      <c r="D193" s="8"/>
      <c r="E193" s="8"/>
      <c r="F193" s="8"/>
      <c r="G193" s="8"/>
      <c r="H193" s="8"/>
      <c r="I193" s="8"/>
      <c r="J193" s="49"/>
      <c r="K193" s="49"/>
      <c r="L193" s="49"/>
      <c r="M193" s="49"/>
      <c r="N193" s="49"/>
      <c r="O193" s="49"/>
      <c r="P193" s="49"/>
      <c r="Q193" s="49"/>
      <c r="R193" s="49"/>
      <c r="S193" s="49"/>
      <c r="T193" s="49"/>
      <c r="U193" s="49"/>
      <c r="V193" s="49"/>
      <c r="W193" s="49"/>
      <c r="X193" s="49"/>
      <c r="Y193" s="49"/>
      <c r="Z193" s="49"/>
      <c r="AA193" s="49"/>
      <c r="AB193" s="49"/>
    </row>
    <row r="194" spans="1:28" ht="14.25" x14ac:dyDescent="0.2">
      <c r="A194" s="8"/>
      <c r="B194" s="8"/>
      <c r="C194" s="8"/>
      <c r="D194" s="8"/>
      <c r="E194" s="8"/>
      <c r="F194" s="8"/>
      <c r="G194" s="8"/>
      <c r="H194" s="8"/>
      <c r="I194" s="8"/>
      <c r="J194" s="49"/>
      <c r="K194" s="49"/>
      <c r="L194" s="49"/>
      <c r="M194" s="49"/>
      <c r="N194" s="49"/>
      <c r="O194" s="49"/>
      <c r="P194" s="49"/>
      <c r="Q194" s="49"/>
      <c r="R194" s="49"/>
      <c r="S194" s="49"/>
      <c r="T194" s="49"/>
      <c r="U194" s="49"/>
      <c r="V194" s="49"/>
      <c r="W194" s="49"/>
      <c r="X194" s="49"/>
      <c r="Y194" s="49"/>
      <c r="Z194" s="49"/>
      <c r="AA194" s="49"/>
      <c r="AB194" s="49"/>
    </row>
    <row r="195" spans="1:28" ht="14.25" x14ac:dyDescent="0.2">
      <c r="A195" s="8"/>
      <c r="B195" s="8"/>
      <c r="C195" s="8"/>
      <c r="D195" s="8"/>
      <c r="E195" s="8"/>
      <c r="F195" s="8"/>
      <c r="G195" s="8"/>
      <c r="H195" s="8"/>
      <c r="I195" s="8"/>
      <c r="J195" s="49"/>
      <c r="K195" s="49"/>
      <c r="L195" s="49"/>
      <c r="M195" s="49"/>
      <c r="N195" s="49"/>
      <c r="O195" s="49"/>
      <c r="P195" s="49"/>
      <c r="Q195" s="49"/>
      <c r="R195" s="49"/>
      <c r="S195" s="49"/>
      <c r="T195" s="49"/>
      <c r="U195" s="49"/>
      <c r="V195" s="49"/>
      <c r="W195" s="49"/>
      <c r="X195" s="49"/>
      <c r="Y195" s="49"/>
      <c r="Z195" s="49"/>
      <c r="AA195" s="49"/>
      <c r="AB195" s="49"/>
    </row>
    <row r="196" spans="1:28" ht="14.25" x14ac:dyDescent="0.2">
      <c r="A196" s="8"/>
      <c r="B196" s="8"/>
      <c r="C196" s="8"/>
      <c r="D196" s="8"/>
      <c r="E196" s="8"/>
      <c r="F196" s="8"/>
      <c r="G196" s="8"/>
      <c r="H196" s="8"/>
      <c r="I196" s="8"/>
      <c r="J196" s="49"/>
      <c r="K196" s="49"/>
      <c r="L196" s="49"/>
      <c r="M196" s="49"/>
      <c r="N196" s="49"/>
      <c r="O196" s="49"/>
      <c r="P196" s="49"/>
      <c r="Q196" s="49"/>
      <c r="R196" s="49"/>
      <c r="S196" s="49"/>
      <c r="T196" s="49"/>
      <c r="U196" s="49"/>
      <c r="V196" s="49"/>
      <c r="W196" s="49"/>
      <c r="X196" s="49"/>
      <c r="Y196" s="49"/>
      <c r="Z196" s="49"/>
      <c r="AA196" s="49"/>
      <c r="AB196" s="49"/>
    </row>
    <row r="197" spans="1:28" ht="14.25" x14ac:dyDescent="0.2">
      <c r="A197" s="8"/>
      <c r="B197" s="8"/>
      <c r="C197" s="8"/>
      <c r="D197" s="8"/>
      <c r="E197" s="8"/>
      <c r="F197" s="8"/>
      <c r="G197" s="8"/>
      <c r="H197" s="8"/>
      <c r="I197" s="8"/>
      <c r="J197" s="49"/>
      <c r="K197" s="49"/>
      <c r="L197" s="49"/>
      <c r="M197" s="49"/>
      <c r="N197" s="49"/>
      <c r="O197" s="49"/>
      <c r="P197" s="49"/>
      <c r="Q197" s="49"/>
      <c r="R197" s="49"/>
      <c r="S197" s="49"/>
      <c r="T197" s="49"/>
      <c r="U197" s="49"/>
      <c r="V197" s="49"/>
      <c r="W197" s="49"/>
      <c r="X197" s="49"/>
      <c r="Y197" s="49"/>
      <c r="Z197" s="49"/>
      <c r="AA197" s="49"/>
      <c r="AB197" s="49"/>
    </row>
    <row r="198" spans="1:28" ht="14.25" x14ac:dyDescent="0.2">
      <c r="A198" s="8"/>
      <c r="B198" s="8"/>
      <c r="C198" s="8"/>
      <c r="D198" s="8"/>
      <c r="E198" s="8"/>
      <c r="F198" s="8"/>
      <c r="G198" s="8"/>
      <c r="H198" s="8"/>
      <c r="I198" s="8"/>
      <c r="J198" s="49"/>
      <c r="K198" s="49"/>
      <c r="L198" s="49"/>
      <c r="M198" s="49"/>
      <c r="N198" s="49"/>
      <c r="O198" s="49"/>
      <c r="P198" s="49"/>
      <c r="Q198" s="49"/>
      <c r="R198" s="49"/>
      <c r="S198" s="49"/>
      <c r="T198" s="49"/>
      <c r="U198" s="49"/>
      <c r="V198" s="49"/>
      <c r="W198" s="49"/>
      <c r="X198" s="49"/>
      <c r="Y198" s="49"/>
      <c r="Z198" s="49"/>
      <c r="AA198" s="49"/>
      <c r="AB198" s="49"/>
    </row>
    <row r="199" spans="1:28" ht="14.25" x14ac:dyDescent="0.2">
      <c r="A199" s="8"/>
      <c r="B199" s="8"/>
      <c r="C199" s="8"/>
      <c r="D199" s="8"/>
      <c r="E199" s="8"/>
      <c r="F199" s="8"/>
      <c r="G199" s="8"/>
      <c r="H199" s="8"/>
      <c r="I199" s="8"/>
      <c r="J199" s="49"/>
      <c r="K199" s="49"/>
      <c r="L199" s="49"/>
      <c r="M199" s="49"/>
      <c r="N199" s="49"/>
      <c r="O199" s="49"/>
      <c r="P199" s="49"/>
      <c r="Q199" s="49"/>
      <c r="R199" s="49"/>
      <c r="S199" s="49"/>
      <c r="T199" s="49"/>
      <c r="U199" s="49"/>
      <c r="V199" s="49"/>
      <c r="W199" s="49"/>
      <c r="X199" s="49"/>
      <c r="Y199" s="49"/>
      <c r="Z199" s="49"/>
      <c r="AA199" s="49"/>
      <c r="AB199" s="49"/>
    </row>
    <row r="200" spans="1:28" ht="14.25" x14ac:dyDescent="0.2">
      <c r="A200" s="8"/>
      <c r="B200" s="8"/>
      <c r="C200" s="8"/>
      <c r="D200" s="8"/>
      <c r="E200" s="8"/>
      <c r="F200" s="8"/>
      <c r="G200" s="8"/>
      <c r="H200" s="8"/>
      <c r="I200" s="8"/>
      <c r="J200" s="49"/>
      <c r="K200" s="49"/>
      <c r="L200" s="49"/>
      <c r="M200" s="49"/>
      <c r="N200" s="49"/>
      <c r="O200" s="49"/>
      <c r="P200" s="49"/>
      <c r="Q200" s="49"/>
      <c r="R200" s="49"/>
      <c r="S200" s="49"/>
      <c r="T200" s="49"/>
      <c r="U200" s="49"/>
      <c r="V200" s="49"/>
      <c r="W200" s="49"/>
      <c r="X200" s="49"/>
      <c r="Y200" s="49"/>
      <c r="Z200" s="49"/>
      <c r="AA200" s="49"/>
      <c r="AB200" s="49"/>
    </row>
    <row r="201" spans="1:28" ht="14.25" x14ac:dyDescent="0.2">
      <c r="A201" s="8"/>
      <c r="B201" s="8"/>
      <c r="C201" s="8"/>
      <c r="D201" s="8"/>
      <c r="E201" s="8"/>
      <c r="F201" s="8"/>
      <c r="G201" s="8"/>
      <c r="H201" s="8"/>
      <c r="I201" s="8"/>
      <c r="J201" s="49"/>
      <c r="K201" s="49"/>
      <c r="L201" s="49"/>
      <c r="M201" s="49"/>
      <c r="N201" s="49"/>
      <c r="O201" s="49"/>
      <c r="P201" s="49"/>
      <c r="Q201" s="49"/>
      <c r="R201" s="49"/>
      <c r="S201" s="49"/>
      <c r="T201" s="49"/>
      <c r="U201" s="49"/>
      <c r="V201" s="49"/>
      <c r="W201" s="49"/>
      <c r="X201" s="49"/>
      <c r="Y201" s="49"/>
      <c r="Z201" s="49"/>
      <c r="AA201" s="49"/>
      <c r="AB201" s="49"/>
    </row>
    <row r="202" spans="1:28" ht="14.25" x14ac:dyDescent="0.2">
      <c r="A202" s="8"/>
      <c r="B202" s="8"/>
      <c r="C202" s="8"/>
      <c r="D202" s="8"/>
      <c r="E202" s="8"/>
      <c r="F202" s="8"/>
      <c r="G202" s="8"/>
      <c r="H202" s="8"/>
      <c r="I202" s="8"/>
      <c r="J202" s="49"/>
      <c r="K202" s="49"/>
      <c r="L202" s="49"/>
      <c r="M202" s="49"/>
      <c r="N202" s="49"/>
      <c r="O202" s="49"/>
      <c r="P202" s="49"/>
      <c r="Q202" s="49"/>
      <c r="R202" s="49"/>
      <c r="S202" s="49"/>
      <c r="T202" s="49"/>
      <c r="U202" s="49"/>
      <c r="V202" s="49"/>
      <c r="W202" s="49"/>
      <c r="X202" s="49"/>
      <c r="Y202" s="49"/>
      <c r="Z202" s="49"/>
      <c r="AA202" s="49"/>
      <c r="AB202" s="49"/>
    </row>
    <row r="203" spans="1:28" ht="14.25" x14ac:dyDescent="0.2">
      <c r="A203" s="8"/>
      <c r="B203" s="8"/>
      <c r="C203" s="8"/>
      <c r="D203" s="8"/>
      <c r="E203" s="8"/>
      <c r="F203" s="8"/>
      <c r="G203" s="8"/>
      <c r="H203" s="8"/>
      <c r="I203" s="8"/>
      <c r="J203" s="49"/>
      <c r="K203" s="49"/>
      <c r="L203" s="49"/>
      <c r="M203" s="49"/>
      <c r="N203" s="49"/>
      <c r="O203" s="49"/>
      <c r="P203" s="49"/>
      <c r="Q203" s="49"/>
      <c r="R203" s="49"/>
      <c r="S203" s="49"/>
      <c r="T203" s="49"/>
      <c r="U203" s="49"/>
      <c r="V203" s="49"/>
      <c r="W203" s="49"/>
      <c r="X203" s="49"/>
      <c r="Y203" s="49"/>
      <c r="Z203" s="49"/>
      <c r="AA203" s="49"/>
      <c r="AB203" s="49"/>
    </row>
    <row r="204" spans="1:28" ht="14.25" x14ac:dyDescent="0.2">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spans="1:28" ht="14.25" x14ac:dyDescent="0.2">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spans="1:28" ht="14.25" x14ac:dyDescent="0.2">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spans="1:28" ht="14.25" x14ac:dyDescent="0.2">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spans="1:28" ht="14.25"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4.25"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4.25"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4.25"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4.25"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4.25"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spans="1:28" ht="14.25"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spans="1:28" ht="14.25" x14ac:dyDescent="0.2">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spans="1:28" ht="14.25" x14ac:dyDescent="0.2">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spans="1:28" ht="14.25" x14ac:dyDescent="0.2">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spans="1:28" ht="14.25" x14ac:dyDescent="0.2">
      <c r="A970" s="49"/>
      <c r="B970" s="49"/>
      <c r="C970" s="49"/>
      <c r="D970" s="49"/>
      <c r="E970" s="49"/>
      <c r="F970" s="49"/>
      <c r="G970" s="49"/>
      <c r="H970" s="49"/>
      <c r="I970" s="49"/>
    </row>
    <row r="971" spans="1:28" ht="14.25" x14ac:dyDescent="0.2">
      <c r="A971" s="49"/>
      <c r="B971" s="49"/>
      <c r="C971" s="49"/>
      <c r="D971" s="49"/>
      <c r="E971" s="49"/>
      <c r="F971" s="49"/>
      <c r="G971" s="49"/>
      <c r="H971" s="49"/>
      <c r="I971" s="49"/>
    </row>
    <row r="972" spans="1:28" ht="14.25" x14ac:dyDescent="0.2">
      <c r="A972" s="49"/>
      <c r="B972" s="49"/>
      <c r="C972" s="49"/>
      <c r="D972" s="49"/>
      <c r="E972" s="49"/>
      <c r="F972" s="49"/>
      <c r="G972" s="49"/>
      <c r="H972" s="49"/>
      <c r="I972" s="49"/>
    </row>
    <row r="973" spans="1:28" ht="14.25" x14ac:dyDescent="0.2">
      <c r="A973" s="49"/>
      <c r="B973" s="49"/>
      <c r="C973" s="49"/>
      <c r="D973" s="49"/>
      <c r="E973" s="49"/>
      <c r="F973" s="49"/>
      <c r="G973" s="49"/>
      <c r="H973" s="49"/>
      <c r="I973" s="49"/>
    </row>
    <row r="974" spans="1:28" ht="14.25" x14ac:dyDescent="0.2">
      <c r="A974" s="49"/>
      <c r="B974" s="49"/>
      <c r="C974" s="49"/>
      <c r="D974" s="49"/>
      <c r="E974" s="49"/>
      <c r="F974" s="49"/>
      <c r="G974" s="49"/>
      <c r="H974" s="49"/>
      <c r="I974" s="49"/>
    </row>
    <row r="975" spans="1:28" ht="14.25" x14ac:dyDescent="0.2">
      <c r="A975" s="49"/>
      <c r="B975" s="49"/>
      <c r="C975" s="49"/>
      <c r="D975" s="49"/>
      <c r="E975" s="49"/>
      <c r="F975" s="49"/>
      <c r="G975" s="49"/>
      <c r="H975" s="49"/>
      <c r="I975" s="49"/>
    </row>
    <row r="976" spans="1:28" ht="14.25" x14ac:dyDescent="0.2">
      <c r="A976" s="49"/>
      <c r="B976" s="49"/>
      <c r="C976" s="49"/>
      <c r="D976" s="49"/>
      <c r="E976" s="49"/>
      <c r="F976" s="49"/>
      <c r="G976" s="49"/>
      <c r="H976" s="49"/>
      <c r="I976" s="49"/>
    </row>
    <row r="977" spans="1:9" ht="14.25" x14ac:dyDescent="0.2">
      <c r="A977" s="49"/>
      <c r="B977" s="49"/>
      <c r="C977" s="49"/>
      <c r="D977" s="49"/>
      <c r="E977" s="49"/>
      <c r="F977" s="49"/>
      <c r="G977" s="49"/>
      <c r="H977" s="49"/>
      <c r="I977" s="49"/>
    </row>
    <row r="978" spans="1:9" ht="14.25" x14ac:dyDescent="0.2">
      <c r="A978" s="49"/>
      <c r="B978" s="49"/>
      <c r="C978" s="49"/>
      <c r="D978" s="49"/>
      <c r="E978" s="49"/>
      <c r="F978" s="49"/>
      <c r="G978" s="49"/>
      <c r="H978" s="49"/>
      <c r="I978" s="49"/>
    </row>
    <row r="979" spans="1:9" ht="14.25" x14ac:dyDescent="0.2">
      <c r="A979" s="49"/>
      <c r="B979" s="49"/>
      <c r="C979" s="49"/>
      <c r="D979" s="49"/>
      <c r="E979" s="49"/>
      <c r="F979" s="49"/>
      <c r="G979" s="49"/>
      <c r="H979" s="49"/>
      <c r="I979" s="49"/>
    </row>
    <row r="980" spans="1:9" ht="14.25" x14ac:dyDescent="0.2">
      <c r="A980" s="49"/>
      <c r="B980" s="49"/>
      <c r="C980" s="49"/>
      <c r="D980" s="49"/>
      <c r="E980" s="49"/>
      <c r="F980" s="49"/>
      <c r="G980" s="49"/>
      <c r="H980" s="49"/>
      <c r="I980" s="49"/>
    </row>
  </sheetData>
  <dataConsolidate/>
  <mergeCells count="3">
    <mergeCell ref="A9:H9"/>
    <mergeCell ref="A22:H22"/>
    <mergeCell ref="A28:H28"/>
  </mergeCells>
  <phoneticPr fontId="28" type="noConversion"/>
  <dataValidations count="1">
    <dataValidation type="list" allowBlank="1" showInputMessage="1" showErrorMessage="1" sqref="H10:H21 H29:H31 H23:H27" xr:uid="{33CA1CA1-AB26-441E-B4FD-C00F2453A8AB}">
      <formula1>"'Pass,'Fail,'Untest,'N/A"</formula1>
    </dataValidation>
  </dataValidations>
  <hyperlinks>
    <hyperlink ref="B2" location="null!A1" display="Back to TestReport" xr:uid="{01272057-B6EB-4D43-A6C7-F1D613629B8B}"/>
  </hyperlinks>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AC89-DA11-44E0-86E8-10B0E27AD50E}">
  <sheetPr>
    <outlinePr summaryBelow="0" summaryRight="0"/>
  </sheetPr>
  <dimension ref="A1:AB994"/>
  <sheetViews>
    <sheetView zoomScaleNormal="100" workbookViewId="0">
      <pane xSplit="1" ySplit="8" topLeftCell="G28" activePane="bottomRight" state="frozen"/>
      <selection pane="topRight" activeCell="B1" sqref="B1"/>
      <selection pane="bottomLeft" activeCell="A9" sqref="A9"/>
      <selection pane="bottomRight" activeCell="H22" sqref="H22:H33"/>
    </sheetView>
  </sheetViews>
  <sheetFormatPr defaultColWidth="12.625" defaultRowHeight="15" customHeight="1" x14ac:dyDescent="0.15"/>
  <cols>
    <col min="1" max="1" width="12.75" customWidth="1"/>
    <col min="2" max="2" width="23.875" bestFit="1" customWidth="1"/>
    <col min="3" max="3" width="22.75" customWidth="1"/>
    <col min="4" max="4" width="20.25" customWidth="1"/>
    <col min="5" max="5" width="13.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2.75" customHeight="1"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2.75" customHeight="1" x14ac:dyDescent="0.2">
      <c r="A2" s="50"/>
      <c r="B2" s="51" t="s">
        <v>22</v>
      </c>
      <c r="C2" s="51" t="str">
        <f>HYPERLINK("#'Test case List'!A1","Test case List")</f>
        <v>Test case List</v>
      </c>
      <c r="D2" s="50"/>
      <c r="E2" s="50"/>
      <c r="F2" s="50"/>
      <c r="G2" s="61" t="s">
        <v>23</v>
      </c>
      <c r="H2" s="62">
        <f>COUNTIF($A$10:$A$860, "TC*")</f>
        <v>26</v>
      </c>
      <c r="I2" s="50"/>
      <c r="J2" s="50"/>
      <c r="K2" s="50"/>
      <c r="L2" s="50"/>
      <c r="M2" s="50"/>
      <c r="N2" s="50"/>
      <c r="O2" s="50"/>
      <c r="P2" s="50"/>
      <c r="Q2" s="50"/>
      <c r="R2" s="50"/>
      <c r="S2" s="50"/>
      <c r="T2" s="50"/>
      <c r="U2" s="50"/>
      <c r="V2" s="50"/>
      <c r="W2" s="50"/>
      <c r="X2" s="50"/>
      <c r="Y2" s="12"/>
      <c r="Z2" s="12"/>
      <c r="AA2" s="12"/>
      <c r="AB2" s="12"/>
    </row>
    <row r="3" spans="1:28" ht="12.75" customHeight="1" x14ac:dyDescent="0.2">
      <c r="A3" s="50"/>
      <c r="B3" s="52" t="s">
        <v>24</v>
      </c>
      <c r="C3" s="146" t="s">
        <v>1219</v>
      </c>
      <c r="D3" s="50"/>
      <c r="E3" s="50"/>
      <c r="F3" s="50"/>
      <c r="G3" s="63" t="s">
        <v>25</v>
      </c>
      <c r="H3" s="64">
        <f>(COUNTIF(H10:H44,"Pass"))</f>
        <v>19</v>
      </c>
      <c r="I3" s="50"/>
      <c r="J3" s="50"/>
      <c r="K3" s="50"/>
      <c r="L3" s="50"/>
      <c r="M3" s="50"/>
      <c r="N3" s="50"/>
      <c r="O3" s="50"/>
      <c r="P3" s="50"/>
      <c r="Q3" s="50"/>
      <c r="R3" s="50"/>
      <c r="S3" s="50"/>
      <c r="T3" s="50"/>
      <c r="U3" s="50"/>
      <c r="V3" s="50"/>
      <c r="W3" s="50"/>
      <c r="X3" s="50"/>
      <c r="Y3" s="12"/>
      <c r="Z3" s="12"/>
      <c r="AA3" s="12"/>
      <c r="AB3" s="12"/>
    </row>
    <row r="4" spans="1:28" ht="12.75" customHeight="1" thickBot="1" x14ac:dyDescent="0.25">
      <c r="A4" s="50"/>
      <c r="B4" s="53" t="s">
        <v>26</v>
      </c>
      <c r="C4" s="54" t="s">
        <v>37</v>
      </c>
      <c r="D4" s="50"/>
      <c r="E4" s="50"/>
      <c r="F4" s="50"/>
      <c r="G4" s="63" t="s">
        <v>27</v>
      </c>
      <c r="H4" s="64">
        <f>(COUNTIF(H10:H44,"Fail"))</f>
        <v>0</v>
      </c>
      <c r="I4" s="50"/>
      <c r="J4" s="50"/>
      <c r="K4" s="50"/>
      <c r="L4" s="50"/>
      <c r="M4" s="50"/>
      <c r="N4" s="50"/>
      <c r="O4" s="50"/>
      <c r="P4" s="50"/>
      <c r="Q4" s="50"/>
      <c r="R4" s="50"/>
      <c r="S4" s="50"/>
      <c r="T4" s="50"/>
      <c r="U4" s="50"/>
      <c r="V4" s="50"/>
      <c r="W4" s="50"/>
      <c r="X4" s="50"/>
      <c r="Y4" s="12"/>
      <c r="Z4" s="12"/>
      <c r="AA4" s="12"/>
      <c r="AB4" s="12"/>
    </row>
    <row r="5" spans="1:28" ht="12.75" customHeight="1" thickBot="1" x14ac:dyDescent="0.25">
      <c r="A5" s="50"/>
      <c r="B5" s="55"/>
      <c r="C5" s="55"/>
      <c r="D5" s="50"/>
      <c r="E5" s="50"/>
      <c r="F5" s="50"/>
      <c r="G5" s="63" t="s">
        <v>28</v>
      </c>
      <c r="H5" s="64">
        <f>(COUNTIF(H10:H44,"Untest"))</f>
        <v>7</v>
      </c>
      <c r="I5" s="50"/>
      <c r="J5" s="50"/>
      <c r="K5" s="50"/>
      <c r="L5" s="50"/>
      <c r="M5" s="50"/>
      <c r="N5" s="50"/>
      <c r="O5" s="50"/>
      <c r="P5" s="50"/>
      <c r="Q5" s="50"/>
      <c r="R5" s="50"/>
      <c r="S5" s="50"/>
      <c r="T5" s="50"/>
      <c r="U5" s="50"/>
      <c r="V5" s="50"/>
      <c r="W5" s="50"/>
      <c r="X5" s="50"/>
      <c r="Y5" s="12"/>
      <c r="Z5" s="12"/>
      <c r="AA5" s="12"/>
      <c r="AB5" s="12"/>
    </row>
    <row r="6" spans="1:28" ht="12.75" customHeight="1" thickBot="1" x14ac:dyDescent="0.25">
      <c r="A6" s="55"/>
      <c r="B6" s="56" t="s">
        <v>29</v>
      </c>
      <c r="C6" s="57" t="str">
        <f>ROUND((H3 / (H2-H6))*100,2)&amp;"%"</f>
        <v>73.08%</v>
      </c>
      <c r="D6" s="50"/>
      <c r="E6" s="50"/>
      <c r="F6" s="50"/>
      <c r="G6" s="84" t="s">
        <v>30</v>
      </c>
      <c r="H6" s="85">
        <f>(COUNTIF(H10:H44,"N/A"))</f>
        <v>0</v>
      </c>
      <c r="I6" s="50"/>
      <c r="J6" s="50"/>
      <c r="K6" s="50"/>
      <c r="L6" s="50"/>
      <c r="M6" s="50"/>
      <c r="N6" s="50"/>
      <c r="O6" s="50"/>
      <c r="P6" s="50"/>
      <c r="Q6" s="50"/>
      <c r="R6" s="50"/>
      <c r="S6" s="50"/>
      <c r="T6" s="50"/>
      <c r="U6" s="50"/>
      <c r="V6" s="50"/>
      <c r="W6" s="50"/>
      <c r="X6" s="50"/>
      <c r="Y6" s="12"/>
      <c r="Z6" s="12"/>
      <c r="AA6" s="12"/>
      <c r="AB6" s="12"/>
    </row>
    <row r="7" spans="1:28" ht="12.75" customHeight="1"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24.95" customHeight="1" x14ac:dyDescent="0.2">
      <c r="A8" s="126" t="s">
        <v>31</v>
      </c>
      <c r="B8" s="126" t="s">
        <v>32</v>
      </c>
      <c r="C8" s="126" t="s">
        <v>21</v>
      </c>
      <c r="D8" s="126" t="s">
        <v>14</v>
      </c>
      <c r="E8" s="126" t="s">
        <v>33</v>
      </c>
      <c r="F8" s="126" t="s">
        <v>34</v>
      </c>
      <c r="G8" s="126" t="s">
        <v>35</v>
      </c>
      <c r="H8" s="126" t="s">
        <v>64</v>
      </c>
      <c r="I8" s="126" t="s">
        <v>36</v>
      </c>
      <c r="J8" s="58"/>
      <c r="K8" s="58"/>
      <c r="L8" s="58"/>
      <c r="M8" s="58"/>
      <c r="N8" s="58"/>
      <c r="O8" s="58"/>
      <c r="P8" s="58"/>
      <c r="Q8" s="58"/>
      <c r="R8" s="58"/>
      <c r="S8" s="58"/>
      <c r="T8" s="58"/>
      <c r="U8" s="58"/>
      <c r="V8" s="58"/>
      <c r="W8" s="58"/>
      <c r="X8" s="58"/>
      <c r="Y8" s="58"/>
      <c r="Z8" s="58"/>
      <c r="AA8" s="49"/>
      <c r="AB8" s="49"/>
    </row>
    <row r="9" spans="1:28" ht="24.95" customHeight="1" x14ac:dyDescent="0.2">
      <c r="A9" s="181" t="s">
        <v>85</v>
      </c>
      <c r="B9" s="182"/>
      <c r="C9" s="182"/>
      <c r="D9" s="182"/>
      <c r="E9" s="182"/>
      <c r="F9" s="183"/>
      <c r="G9" s="145"/>
      <c r="H9" s="145"/>
      <c r="I9" s="105"/>
      <c r="J9" s="86"/>
      <c r="K9" s="86"/>
      <c r="L9" s="86"/>
      <c r="M9" s="86"/>
      <c r="N9" s="86"/>
      <c r="O9" s="86"/>
      <c r="P9" s="86"/>
      <c r="Q9" s="86"/>
      <c r="R9" s="86"/>
      <c r="S9" s="86"/>
      <c r="T9" s="86"/>
      <c r="U9" s="86"/>
      <c r="V9" s="86"/>
      <c r="W9" s="86"/>
      <c r="X9" s="86"/>
      <c r="Y9" s="86"/>
      <c r="Z9" s="86"/>
      <c r="AA9" s="49"/>
      <c r="AB9" s="49"/>
    </row>
    <row r="10" spans="1:28" ht="71.25" x14ac:dyDescent="0.2">
      <c r="A10" s="129" t="s">
        <v>1084</v>
      </c>
      <c r="B10" s="129" t="s">
        <v>1298</v>
      </c>
      <c r="C10" s="129" t="s">
        <v>1124</v>
      </c>
      <c r="D10" s="129" t="s">
        <v>1125</v>
      </c>
      <c r="E10" s="129"/>
      <c r="F10" s="129" t="s">
        <v>1085</v>
      </c>
      <c r="G10" s="129"/>
      <c r="H10" s="129" t="s">
        <v>25</v>
      </c>
      <c r="I10" s="129"/>
      <c r="J10" s="8"/>
      <c r="K10" s="8"/>
      <c r="L10" s="8"/>
      <c r="M10" s="8"/>
      <c r="N10" s="8"/>
      <c r="O10" s="8"/>
      <c r="P10" s="8"/>
      <c r="Q10" s="8"/>
      <c r="R10" s="8"/>
      <c r="S10" s="8"/>
      <c r="T10" s="8"/>
      <c r="U10" s="8"/>
      <c r="V10" s="8"/>
      <c r="W10" s="8"/>
      <c r="X10" s="8"/>
      <c r="Y10" s="8"/>
      <c r="Z10" s="49"/>
      <c r="AA10" s="49"/>
    </row>
    <row r="11" spans="1:28" ht="71.25" x14ac:dyDescent="0.2">
      <c r="A11" s="129" t="s">
        <v>1086</v>
      </c>
      <c r="B11" s="129" t="s">
        <v>1087</v>
      </c>
      <c r="C11" s="129" t="s">
        <v>1185</v>
      </c>
      <c r="D11" s="129" t="s">
        <v>1167</v>
      </c>
      <c r="E11" s="129"/>
      <c r="F11" s="129" t="s">
        <v>1088</v>
      </c>
      <c r="G11" s="129"/>
      <c r="H11" s="129" t="s">
        <v>25</v>
      </c>
      <c r="I11" s="129"/>
      <c r="J11" s="8"/>
      <c r="K11" s="8"/>
      <c r="L11" s="8"/>
      <c r="M11" s="8"/>
      <c r="N11" s="8"/>
      <c r="O11" s="8"/>
      <c r="P11" s="8"/>
      <c r="Q11" s="8"/>
      <c r="R11" s="8"/>
      <c r="S11" s="8"/>
      <c r="T11" s="8"/>
      <c r="U11" s="8"/>
      <c r="V11" s="8"/>
      <c r="W11" s="8"/>
      <c r="X11" s="49"/>
      <c r="Y11" s="49"/>
      <c r="Z11" s="49"/>
      <c r="AA11" s="49"/>
    </row>
    <row r="12" spans="1:28" ht="71.25" x14ac:dyDescent="0.2">
      <c r="A12" s="129" t="s">
        <v>1089</v>
      </c>
      <c r="B12" s="129" t="s">
        <v>1090</v>
      </c>
      <c r="C12" s="129" t="s">
        <v>1186</v>
      </c>
      <c r="D12" s="129" t="s">
        <v>1216</v>
      </c>
      <c r="E12" s="129"/>
      <c r="F12" s="129" t="s">
        <v>1091</v>
      </c>
      <c r="G12" s="129"/>
      <c r="H12" s="129" t="s">
        <v>25</v>
      </c>
      <c r="I12" s="129"/>
      <c r="J12" s="8"/>
      <c r="K12" s="8"/>
      <c r="L12" s="8"/>
      <c r="M12" s="8"/>
      <c r="N12" s="8"/>
      <c r="O12" s="8"/>
      <c r="P12" s="8"/>
      <c r="Q12" s="8"/>
      <c r="R12" s="8"/>
      <c r="S12" s="8"/>
      <c r="T12" s="8"/>
      <c r="U12" s="8"/>
      <c r="V12" s="8"/>
      <c r="W12" s="8"/>
      <c r="X12" s="49"/>
      <c r="Y12" s="49"/>
      <c r="Z12" s="49"/>
      <c r="AA12" s="49"/>
    </row>
    <row r="13" spans="1:28" ht="71.25" x14ac:dyDescent="0.2">
      <c r="A13" s="129" t="s">
        <v>1092</v>
      </c>
      <c r="B13" s="129" t="s">
        <v>1093</v>
      </c>
      <c r="C13" s="129" t="s">
        <v>1187</v>
      </c>
      <c r="D13" s="129" t="s">
        <v>1168</v>
      </c>
      <c r="E13" s="129"/>
      <c r="F13" s="129" t="s">
        <v>569</v>
      </c>
      <c r="G13" s="129"/>
      <c r="H13" s="129" t="s">
        <v>25</v>
      </c>
      <c r="I13" s="129"/>
      <c r="J13" s="8"/>
      <c r="K13" s="8"/>
      <c r="L13" s="8"/>
      <c r="M13" s="8"/>
      <c r="N13" s="8"/>
      <c r="O13" s="8"/>
      <c r="P13" s="8"/>
      <c r="Q13" s="8"/>
      <c r="R13" s="8"/>
      <c r="S13" s="8"/>
      <c r="T13" s="8"/>
      <c r="U13" s="8"/>
      <c r="V13" s="8"/>
      <c r="W13" s="8"/>
      <c r="X13" s="49"/>
      <c r="Y13" s="49"/>
      <c r="Z13" s="49"/>
      <c r="AA13" s="49"/>
    </row>
    <row r="14" spans="1:28" ht="71.25" x14ac:dyDescent="0.2">
      <c r="A14" s="129" t="s">
        <v>1094</v>
      </c>
      <c r="B14" s="129" t="s">
        <v>1299</v>
      </c>
      <c r="C14" s="129" t="s">
        <v>1188</v>
      </c>
      <c r="D14" s="129" t="s">
        <v>1169</v>
      </c>
      <c r="E14" s="129"/>
      <c r="F14" s="129" t="s">
        <v>1095</v>
      </c>
      <c r="G14" s="129"/>
      <c r="H14" s="129" t="s">
        <v>28</v>
      </c>
      <c r="I14" s="129"/>
      <c r="J14" s="8"/>
      <c r="K14" s="8"/>
      <c r="L14" s="8"/>
      <c r="M14" s="8"/>
      <c r="N14" s="8"/>
      <c r="O14" s="8"/>
      <c r="P14" s="8"/>
      <c r="Q14" s="8"/>
      <c r="R14" s="8"/>
      <c r="S14" s="8"/>
      <c r="T14" s="8"/>
      <c r="U14" s="8"/>
      <c r="V14" s="8"/>
      <c r="W14" s="8"/>
      <c r="X14" s="49"/>
      <c r="Y14" s="49"/>
      <c r="Z14" s="49"/>
      <c r="AA14" s="49"/>
    </row>
    <row r="15" spans="1:28" ht="71.25" x14ac:dyDescent="0.2">
      <c r="A15" s="129" t="s">
        <v>1096</v>
      </c>
      <c r="B15" s="129" t="s">
        <v>1300</v>
      </c>
      <c r="C15" s="129" t="s">
        <v>1189</v>
      </c>
      <c r="D15" s="129" t="s">
        <v>1170</v>
      </c>
      <c r="E15" s="129"/>
      <c r="F15" s="129" t="s">
        <v>1301</v>
      </c>
      <c r="G15" s="129"/>
      <c r="H15" s="129" t="s">
        <v>28</v>
      </c>
      <c r="I15" s="129"/>
      <c r="J15" s="8"/>
      <c r="K15" s="8"/>
      <c r="L15" s="8"/>
      <c r="M15" s="8"/>
      <c r="N15" s="8"/>
      <c r="O15" s="8"/>
      <c r="P15" s="8"/>
      <c r="Q15" s="8"/>
      <c r="R15" s="8"/>
      <c r="S15" s="8"/>
      <c r="T15" s="8"/>
      <c r="U15" s="8"/>
      <c r="V15" s="8"/>
      <c r="W15" s="8"/>
      <c r="X15" s="49"/>
      <c r="Y15" s="49"/>
      <c r="Z15" s="49"/>
      <c r="AA15" s="49"/>
    </row>
    <row r="16" spans="1:28" ht="85.5" x14ac:dyDescent="0.2">
      <c r="A16" s="129" t="s">
        <v>1097</v>
      </c>
      <c r="B16" s="129" t="s">
        <v>1098</v>
      </c>
      <c r="C16" s="129" t="s">
        <v>1190</v>
      </c>
      <c r="D16" s="129" t="s">
        <v>1171</v>
      </c>
      <c r="E16" s="129"/>
      <c r="F16" s="129" t="s">
        <v>1210</v>
      </c>
      <c r="G16" s="129"/>
      <c r="H16" s="129" t="s">
        <v>28</v>
      </c>
      <c r="I16" s="129"/>
      <c r="J16" s="8"/>
      <c r="K16" s="8"/>
      <c r="L16" s="8"/>
      <c r="M16" s="8"/>
      <c r="N16" s="8"/>
      <c r="O16" s="8"/>
      <c r="P16" s="8"/>
      <c r="Q16" s="8"/>
      <c r="R16" s="8"/>
      <c r="S16" s="8"/>
      <c r="T16" s="8"/>
      <c r="U16" s="8"/>
      <c r="V16" s="8"/>
      <c r="W16" s="8"/>
      <c r="X16" s="8"/>
      <c r="Y16" s="8"/>
      <c r="Z16" s="49"/>
      <c r="AA16" s="49"/>
    </row>
    <row r="17" spans="1:27" ht="71.25" x14ac:dyDescent="0.2">
      <c r="A17" s="129" t="s">
        <v>1099</v>
      </c>
      <c r="B17" s="129" t="s">
        <v>1100</v>
      </c>
      <c r="C17" s="129" t="s">
        <v>1191</v>
      </c>
      <c r="D17" s="129" t="s">
        <v>1172</v>
      </c>
      <c r="E17" s="129"/>
      <c r="F17" s="129" t="s">
        <v>1211</v>
      </c>
      <c r="G17" s="129"/>
      <c r="H17" s="129" t="s">
        <v>25</v>
      </c>
      <c r="I17" s="129"/>
      <c r="J17" s="73"/>
      <c r="K17" s="73"/>
      <c r="L17" s="73"/>
      <c r="M17" s="73"/>
      <c r="N17" s="73"/>
      <c r="O17" s="73"/>
      <c r="P17" s="73"/>
      <c r="Q17" s="73"/>
      <c r="R17" s="73"/>
      <c r="S17" s="73"/>
      <c r="T17" s="73"/>
      <c r="U17" s="73"/>
      <c r="V17" s="73"/>
      <c r="W17" s="73"/>
      <c r="X17" s="49"/>
      <c r="Y17" s="49"/>
      <c r="Z17" s="49"/>
      <c r="AA17" s="49"/>
    </row>
    <row r="18" spans="1:27" ht="71.25" x14ac:dyDescent="0.2">
      <c r="A18" s="129" t="s">
        <v>1101</v>
      </c>
      <c r="B18" s="129" t="s">
        <v>1102</v>
      </c>
      <c r="C18" s="129" t="s">
        <v>1192</v>
      </c>
      <c r="D18" s="129" t="s">
        <v>1172</v>
      </c>
      <c r="E18" s="129"/>
      <c r="F18" s="129" t="s">
        <v>1103</v>
      </c>
      <c r="G18" s="129"/>
      <c r="H18" s="129" t="s">
        <v>25</v>
      </c>
      <c r="I18" s="129"/>
      <c r="J18" s="73"/>
      <c r="K18" s="73"/>
      <c r="L18" s="73"/>
      <c r="M18" s="73"/>
      <c r="N18" s="73"/>
      <c r="O18" s="73"/>
      <c r="P18" s="73"/>
      <c r="Q18" s="73"/>
      <c r="R18" s="73"/>
      <c r="S18" s="73"/>
      <c r="T18" s="73"/>
      <c r="U18" s="73"/>
      <c r="V18" s="73"/>
      <c r="W18" s="73"/>
      <c r="X18" s="49"/>
      <c r="Y18" s="49"/>
      <c r="Z18" s="49"/>
      <c r="AA18" s="49"/>
    </row>
    <row r="19" spans="1:27" ht="85.5" x14ac:dyDescent="0.2">
      <c r="A19" s="129" t="s">
        <v>1104</v>
      </c>
      <c r="B19" s="129" t="s">
        <v>1105</v>
      </c>
      <c r="C19" s="129" t="s">
        <v>1106</v>
      </c>
      <c r="D19" s="129" t="s">
        <v>1146</v>
      </c>
      <c r="E19" s="129"/>
      <c r="F19" s="129" t="s">
        <v>1107</v>
      </c>
      <c r="G19" s="129"/>
      <c r="H19" s="129" t="s">
        <v>28</v>
      </c>
      <c r="I19" s="129"/>
      <c r="J19" s="8"/>
      <c r="K19" s="8"/>
      <c r="L19" s="8"/>
      <c r="M19" s="8"/>
      <c r="N19" s="8"/>
      <c r="O19" s="8"/>
      <c r="P19" s="8"/>
      <c r="Q19" s="8"/>
      <c r="R19" s="8"/>
      <c r="S19" s="8"/>
      <c r="T19" s="8"/>
      <c r="U19" s="8"/>
      <c r="V19" s="8"/>
      <c r="W19" s="8"/>
      <c r="X19" s="49"/>
      <c r="Y19" s="49"/>
      <c r="Z19" s="49"/>
      <c r="AA19" s="49"/>
    </row>
    <row r="20" spans="1:27" ht="72" customHeight="1" x14ac:dyDescent="0.2">
      <c r="A20" s="129" t="s">
        <v>1108</v>
      </c>
      <c r="B20" s="129" t="s">
        <v>446</v>
      </c>
      <c r="C20" s="129" t="s">
        <v>447</v>
      </c>
      <c r="D20" s="129" t="s">
        <v>1110</v>
      </c>
      <c r="E20" s="129" t="s">
        <v>1144</v>
      </c>
      <c r="F20" s="129" t="s">
        <v>1111</v>
      </c>
      <c r="G20" s="129"/>
      <c r="H20" s="129" t="s">
        <v>25</v>
      </c>
      <c r="I20" s="129"/>
      <c r="J20" s="8"/>
      <c r="K20" s="8"/>
      <c r="L20" s="8"/>
      <c r="M20" s="8"/>
      <c r="N20" s="8"/>
      <c r="O20" s="8"/>
      <c r="P20" s="8"/>
      <c r="Q20" s="8"/>
      <c r="R20" s="8"/>
      <c r="S20" s="8"/>
      <c r="T20" s="8"/>
      <c r="U20" s="8"/>
      <c r="V20" s="8"/>
      <c r="W20" s="8"/>
      <c r="X20" s="49"/>
      <c r="Y20" s="49"/>
      <c r="Z20" s="49"/>
      <c r="AA20" s="49"/>
    </row>
    <row r="21" spans="1:27" x14ac:dyDescent="0.2">
      <c r="A21" s="181" t="s">
        <v>86</v>
      </c>
      <c r="B21" s="182"/>
      <c r="C21" s="182"/>
      <c r="D21" s="182"/>
      <c r="E21" s="182"/>
      <c r="F21" s="183"/>
      <c r="G21" s="129"/>
      <c r="H21" s="129"/>
      <c r="I21" s="129"/>
      <c r="J21" s="73"/>
      <c r="K21" s="73"/>
      <c r="L21" s="73"/>
      <c r="M21" s="73"/>
      <c r="N21" s="73"/>
      <c r="O21" s="73"/>
      <c r="P21" s="73"/>
      <c r="Q21" s="73"/>
      <c r="R21" s="73"/>
      <c r="S21" s="73"/>
      <c r="T21" s="73"/>
      <c r="U21" s="73"/>
      <c r="V21" s="73"/>
      <c r="W21" s="73"/>
      <c r="X21" s="49"/>
      <c r="Y21" s="49"/>
      <c r="Z21" s="49"/>
      <c r="AA21" s="49"/>
    </row>
    <row r="22" spans="1:27" ht="57" x14ac:dyDescent="0.2">
      <c r="A22" s="129" t="s">
        <v>1109</v>
      </c>
      <c r="B22" s="129" t="s">
        <v>1113</v>
      </c>
      <c r="C22" s="129" t="s">
        <v>1193</v>
      </c>
      <c r="D22" s="129" t="s">
        <v>1173</v>
      </c>
      <c r="E22" s="129"/>
      <c r="F22" s="129" t="s">
        <v>1114</v>
      </c>
      <c r="G22" s="129"/>
      <c r="H22" s="129" t="s">
        <v>25</v>
      </c>
      <c r="I22" s="129"/>
      <c r="J22" s="8"/>
      <c r="K22" s="8"/>
      <c r="L22" s="8"/>
      <c r="M22" s="8"/>
      <c r="N22" s="8"/>
      <c r="O22" s="8"/>
      <c r="P22" s="8"/>
      <c r="Q22" s="8"/>
      <c r="R22" s="8"/>
      <c r="S22" s="8"/>
      <c r="T22" s="8"/>
      <c r="U22" s="8"/>
      <c r="V22" s="8"/>
      <c r="W22" s="8"/>
      <c r="X22" s="49"/>
      <c r="Y22" s="49"/>
      <c r="Z22" s="49"/>
      <c r="AA22" s="49"/>
    </row>
    <row r="23" spans="1:27" ht="57" x14ac:dyDescent="0.2">
      <c r="A23" s="129" t="s">
        <v>1112</v>
      </c>
      <c r="B23" s="129" t="s">
        <v>1116</v>
      </c>
      <c r="C23" s="129" t="s">
        <v>1193</v>
      </c>
      <c r="D23" s="129" t="s">
        <v>1174</v>
      </c>
      <c r="E23" s="129"/>
      <c r="F23" s="129" t="s">
        <v>1117</v>
      </c>
      <c r="G23" s="129"/>
      <c r="H23" s="129" t="s">
        <v>25</v>
      </c>
      <c r="I23" s="129"/>
      <c r="J23" s="8"/>
      <c r="Q23" s="8"/>
      <c r="R23" s="8"/>
      <c r="S23" s="8"/>
      <c r="T23" s="8"/>
      <c r="U23" s="8"/>
      <c r="V23" s="8"/>
      <c r="W23" s="8"/>
      <c r="X23" s="49"/>
      <c r="Y23" s="49"/>
      <c r="Z23" s="49"/>
      <c r="AA23" s="49"/>
    </row>
    <row r="24" spans="1:27" ht="57" x14ac:dyDescent="0.2">
      <c r="A24" s="129" t="s">
        <v>1115</v>
      </c>
      <c r="B24" s="129" t="s">
        <v>1119</v>
      </c>
      <c r="C24" s="129" t="s">
        <v>1194</v>
      </c>
      <c r="D24" s="129" t="s">
        <v>1175</v>
      </c>
      <c r="E24" s="129"/>
      <c r="F24" s="129" t="s">
        <v>1145</v>
      </c>
      <c r="G24" s="129"/>
      <c r="H24" s="129" t="s">
        <v>25</v>
      </c>
      <c r="I24" s="129"/>
      <c r="J24" s="8"/>
      <c r="K24" s="8"/>
      <c r="L24" s="8"/>
      <c r="M24" s="8"/>
      <c r="N24" s="8"/>
      <c r="O24" s="8"/>
      <c r="P24" s="8"/>
      <c r="Q24" s="8"/>
      <c r="R24" s="8"/>
      <c r="S24" s="8"/>
      <c r="T24" s="8"/>
      <c r="U24" s="8"/>
      <c r="V24" s="8"/>
      <c r="W24" s="8"/>
      <c r="X24" s="49"/>
      <c r="Y24" s="49"/>
      <c r="Z24" s="49"/>
      <c r="AA24" s="49"/>
    </row>
    <row r="25" spans="1:27" ht="42.75" x14ac:dyDescent="0.2">
      <c r="A25" s="129" t="s">
        <v>1118</v>
      </c>
      <c r="B25" s="129" t="s">
        <v>1302</v>
      </c>
      <c r="C25" s="129" t="s">
        <v>1166</v>
      </c>
      <c r="D25" s="129" t="s">
        <v>1176</v>
      </c>
      <c r="E25" s="129"/>
      <c r="F25" s="129" t="s">
        <v>1149</v>
      </c>
      <c r="G25" s="129"/>
      <c r="H25" s="129" t="s">
        <v>25</v>
      </c>
      <c r="I25" s="129"/>
      <c r="J25" s="73"/>
      <c r="K25" s="73"/>
      <c r="L25" s="73"/>
      <c r="M25" s="73"/>
      <c r="N25" s="73"/>
      <c r="O25" s="73"/>
      <c r="P25" s="73"/>
      <c r="Q25" s="73"/>
      <c r="R25" s="73"/>
      <c r="S25" s="73"/>
      <c r="T25" s="73"/>
      <c r="U25" s="73"/>
      <c r="V25" s="73"/>
      <c r="W25" s="73"/>
      <c r="X25" s="49"/>
      <c r="Y25" s="49"/>
      <c r="Z25" s="49"/>
      <c r="AA25" s="49"/>
    </row>
    <row r="26" spans="1:27" ht="71.25" x14ac:dyDescent="0.2">
      <c r="A26" s="129" t="s">
        <v>1120</v>
      </c>
      <c r="B26" s="129" t="s">
        <v>1303</v>
      </c>
      <c r="C26" s="129" t="s">
        <v>1195</v>
      </c>
      <c r="D26" s="129" t="s">
        <v>1177</v>
      </c>
      <c r="E26" s="129"/>
      <c r="F26" s="129" t="s">
        <v>1210</v>
      </c>
      <c r="G26" s="129"/>
      <c r="H26" s="129" t="s">
        <v>25</v>
      </c>
      <c r="I26" s="129"/>
      <c r="J26" s="73"/>
      <c r="K26" s="73"/>
      <c r="L26" s="73"/>
      <c r="M26" s="73"/>
      <c r="N26" s="73"/>
      <c r="O26" s="73"/>
      <c r="P26" s="73"/>
      <c r="Q26" s="73"/>
      <c r="R26" s="73"/>
      <c r="S26" s="73"/>
      <c r="T26" s="73"/>
      <c r="U26" s="73"/>
      <c r="V26" s="73"/>
      <c r="W26" s="73"/>
      <c r="X26" s="49"/>
      <c r="Y26" s="49"/>
      <c r="Z26" s="49"/>
      <c r="AA26" s="49"/>
    </row>
    <row r="27" spans="1:27" ht="142.5" x14ac:dyDescent="0.2">
      <c r="A27" s="129" t="s">
        <v>1122</v>
      </c>
      <c r="B27" s="129" t="s">
        <v>1151</v>
      </c>
      <c r="C27" s="129" t="s">
        <v>1196</v>
      </c>
      <c r="D27" s="129" t="s">
        <v>1178</v>
      </c>
      <c r="E27" s="129"/>
      <c r="F27" s="129" t="s">
        <v>1150</v>
      </c>
      <c r="G27" s="129"/>
      <c r="H27" s="129" t="s">
        <v>25</v>
      </c>
      <c r="I27" s="129"/>
      <c r="J27" s="73"/>
      <c r="K27" s="73"/>
      <c r="L27" s="73"/>
      <c r="M27" s="73"/>
      <c r="N27" s="73"/>
      <c r="O27" s="73"/>
      <c r="P27" s="73"/>
      <c r="Q27" s="73"/>
      <c r="R27" s="73"/>
      <c r="S27" s="73"/>
      <c r="T27" s="73"/>
      <c r="U27" s="73"/>
      <c r="V27" s="73"/>
      <c r="W27" s="73"/>
      <c r="X27" s="49"/>
      <c r="Y27" s="49"/>
      <c r="Z27" s="49"/>
      <c r="AA27" s="49"/>
    </row>
    <row r="28" spans="1:27" ht="71.25" x14ac:dyDescent="0.2">
      <c r="A28" s="129" t="s">
        <v>1152</v>
      </c>
      <c r="B28" s="129" t="s">
        <v>1212</v>
      </c>
      <c r="C28" s="129" t="s">
        <v>1197</v>
      </c>
      <c r="D28" s="129" t="s">
        <v>1179</v>
      </c>
      <c r="E28" s="129"/>
      <c r="F28" s="129" t="s">
        <v>1153</v>
      </c>
      <c r="G28" s="129"/>
      <c r="H28" s="129" t="s">
        <v>25</v>
      </c>
      <c r="I28" s="129"/>
      <c r="J28" s="73"/>
      <c r="K28" s="73"/>
      <c r="L28" s="73"/>
      <c r="M28" s="73"/>
      <c r="N28" s="73"/>
      <c r="O28" s="73"/>
      <c r="P28" s="73"/>
      <c r="Q28" s="73"/>
      <c r="R28" s="73"/>
      <c r="S28" s="73"/>
      <c r="T28" s="73"/>
      <c r="U28" s="73"/>
      <c r="V28" s="73"/>
      <c r="W28" s="73"/>
      <c r="X28" s="49"/>
      <c r="Y28" s="49"/>
      <c r="Z28" s="49"/>
      <c r="AA28" s="49"/>
    </row>
    <row r="29" spans="1:27" ht="71.25" x14ac:dyDescent="0.2">
      <c r="A29" s="129" t="s">
        <v>1154</v>
      </c>
      <c r="B29" s="129" t="s">
        <v>1155</v>
      </c>
      <c r="C29" s="129" t="s">
        <v>1197</v>
      </c>
      <c r="D29" s="129" t="s">
        <v>1180</v>
      </c>
      <c r="E29" s="129"/>
      <c r="F29" s="129" t="s">
        <v>1156</v>
      </c>
      <c r="G29" s="129"/>
      <c r="H29" s="129" t="s">
        <v>25</v>
      </c>
      <c r="I29" s="129"/>
      <c r="J29" s="73"/>
      <c r="K29" s="73"/>
      <c r="L29" s="73"/>
      <c r="M29" s="73"/>
      <c r="N29" s="73"/>
      <c r="O29" s="73"/>
      <c r="P29" s="73"/>
      <c r="Q29" s="73"/>
      <c r="R29" s="73"/>
      <c r="S29" s="73"/>
      <c r="T29" s="73"/>
      <c r="U29" s="73"/>
      <c r="V29" s="73"/>
      <c r="W29" s="73"/>
      <c r="X29" s="49"/>
      <c r="Y29" s="49"/>
      <c r="Z29" s="49"/>
      <c r="AA29" s="49"/>
    </row>
    <row r="30" spans="1:27" ht="57" x14ac:dyDescent="0.2">
      <c r="A30" s="129" t="s">
        <v>1157</v>
      </c>
      <c r="B30" s="129" t="s">
        <v>1158</v>
      </c>
      <c r="C30" s="129" t="s">
        <v>1193</v>
      </c>
      <c r="D30" s="129" t="s">
        <v>1181</v>
      </c>
      <c r="E30" s="129"/>
      <c r="F30" s="129" t="s">
        <v>1209</v>
      </c>
      <c r="G30" s="129"/>
      <c r="H30" s="129" t="s">
        <v>25</v>
      </c>
      <c r="I30" s="129"/>
      <c r="J30" s="73"/>
      <c r="K30" s="73"/>
      <c r="L30" s="73"/>
      <c r="M30" s="73"/>
      <c r="N30" s="73"/>
      <c r="O30" s="73"/>
      <c r="P30" s="73"/>
      <c r="Q30" s="73"/>
      <c r="R30" s="73"/>
      <c r="S30" s="73"/>
      <c r="T30" s="73"/>
      <c r="U30" s="73"/>
      <c r="V30" s="73"/>
      <c r="W30" s="73"/>
      <c r="X30" s="49"/>
      <c r="Y30" s="49"/>
      <c r="Z30" s="49"/>
      <c r="AA30" s="49"/>
    </row>
    <row r="31" spans="1:27" ht="71.25" x14ac:dyDescent="0.2">
      <c r="A31" s="129" t="s">
        <v>1159</v>
      </c>
      <c r="B31" s="129" t="s">
        <v>1160</v>
      </c>
      <c r="C31" s="129" t="s">
        <v>1198</v>
      </c>
      <c r="D31" s="129" t="s">
        <v>1182</v>
      </c>
      <c r="E31" s="129"/>
      <c r="F31" s="129" t="s">
        <v>1208</v>
      </c>
      <c r="G31" s="129"/>
      <c r="H31" s="129" t="s">
        <v>25</v>
      </c>
      <c r="I31" s="129"/>
      <c r="J31" s="73"/>
      <c r="K31" s="73"/>
      <c r="L31" s="73"/>
      <c r="M31" s="73"/>
      <c r="N31" s="73"/>
      <c r="O31" s="73"/>
      <c r="P31" s="73"/>
      <c r="Q31" s="73"/>
      <c r="R31" s="73"/>
      <c r="S31" s="73"/>
      <c r="T31" s="73"/>
      <c r="U31" s="73"/>
      <c r="V31" s="73"/>
      <c r="W31" s="73"/>
      <c r="X31" s="49"/>
      <c r="Y31" s="49"/>
      <c r="Z31" s="49"/>
      <c r="AA31" s="49"/>
    </row>
    <row r="32" spans="1:27" ht="71.25" x14ac:dyDescent="0.2">
      <c r="A32" s="129" t="s">
        <v>1161</v>
      </c>
      <c r="B32" s="129" t="s">
        <v>1162</v>
      </c>
      <c r="C32" s="129" t="s">
        <v>1199</v>
      </c>
      <c r="D32" s="129" t="s">
        <v>1183</v>
      </c>
      <c r="E32" s="129"/>
      <c r="F32" s="129" t="s">
        <v>1163</v>
      </c>
      <c r="G32" s="129"/>
      <c r="H32" s="129" t="s">
        <v>25</v>
      </c>
      <c r="I32" s="129"/>
      <c r="J32" s="73"/>
      <c r="K32" s="73"/>
      <c r="L32" s="73"/>
      <c r="M32" s="73"/>
      <c r="N32" s="73"/>
      <c r="O32" s="73"/>
      <c r="P32" s="73"/>
      <c r="Q32" s="73"/>
      <c r="R32" s="73"/>
      <c r="S32" s="73"/>
      <c r="T32" s="73"/>
      <c r="U32" s="73"/>
      <c r="V32" s="73"/>
      <c r="W32" s="73"/>
      <c r="X32" s="49"/>
      <c r="Y32" s="49"/>
      <c r="Z32" s="49"/>
      <c r="AA32" s="49"/>
    </row>
    <row r="33" spans="1:28" ht="71.25" x14ac:dyDescent="0.2">
      <c r="A33" s="129" t="s">
        <v>1164</v>
      </c>
      <c r="B33" s="129" t="s">
        <v>1165</v>
      </c>
      <c r="C33" s="129" t="s">
        <v>1200</v>
      </c>
      <c r="D33" s="129" t="s">
        <v>1184</v>
      </c>
      <c r="E33" s="129"/>
      <c r="F33" s="129" t="s">
        <v>1207</v>
      </c>
      <c r="G33" s="129"/>
      <c r="H33" s="129" t="s">
        <v>25</v>
      </c>
      <c r="I33" s="129"/>
      <c r="J33" s="73"/>
      <c r="K33" s="73"/>
      <c r="L33" s="73"/>
      <c r="M33" s="73"/>
      <c r="N33" s="73"/>
      <c r="O33" s="73"/>
      <c r="P33" s="73"/>
      <c r="Q33" s="73"/>
      <c r="R33" s="73"/>
      <c r="S33" s="73"/>
      <c r="T33" s="73"/>
      <c r="U33" s="73"/>
      <c r="V33" s="73"/>
      <c r="W33" s="73"/>
      <c r="X33" s="49"/>
      <c r="Y33" s="49"/>
      <c r="Z33" s="49"/>
      <c r="AA33" s="49"/>
    </row>
    <row r="34" spans="1:28" x14ac:dyDescent="0.2">
      <c r="A34" s="181" t="s">
        <v>160</v>
      </c>
      <c r="B34" s="182"/>
      <c r="C34" s="182"/>
      <c r="D34" s="182"/>
      <c r="E34" s="182"/>
      <c r="F34" s="183"/>
      <c r="G34" s="129"/>
      <c r="H34" s="129"/>
      <c r="I34" s="129"/>
      <c r="J34" s="73"/>
      <c r="K34" s="73"/>
      <c r="L34" s="73"/>
      <c r="M34" s="73"/>
      <c r="N34" s="73"/>
      <c r="O34" s="73"/>
      <c r="P34" s="73"/>
      <c r="Q34" s="73"/>
      <c r="R34" s="73"/>
      <c r="S34" s="73"/>
      <c r="T34" s="73"/>
      <c r="U34" s="73"/>
      <c r="V34" s="73"/>
      <c r="W34" s="73"/>
      <c r="X34" s="49"/>
      <c r="Y34" s="49"/>
      <c r="Z34" s="49"/>
      <c r="AA34" s="49"/>
    </row>
    <row r="35" spans="1:28" ht="71.25" x14ac:dyDescent="0.2">
      <c r="A35" s="129" t="s">
        <v>1203</v>
      </c>
      <c r="B35" s="129" t="s">
        <v>1121</v>
      </c>
      <c r="C35" s="129" t="s">
        <v>1201</v>
      </c>
      <c r="D35" s="129" t="s">
        <v>1147</v>
      </c>
      <c r="E35" s="129"/>
      <c r="F35" s="129" t="s">
        <v>1215</v>
      </c>
      <c r="G35" s="129"/>
      <c r="H35" s="129" t="s">
        <v>28</v>
      </c>
      <c r="I35" s="129"/>
      <c r="J35" s="8"/>
      <c r="K35" s="8"/>
      <c r="L35" s="8"/>
      <c r="M35" s="8"/>
      <c r="N35" s="8"/>
      <c r="O35" s="8"/>
      <c r="P35" s="8"/>
      <c r="Q35" s="8"/>
      <c r="R35" s="8"/>
      <c r="S35" s="8"/>
      <c r="T35" s="8"/>
      <c r="U35" s="8"/>
      <c r="V35" s="8"/>
      <c r="W35" s="8"/>
      <c r="X35" s="49"/>
      <c r="Y35" s="49"/>
      <c r="Z35" s="49"/>
      <c r="AA35" s="49"/>
    </row>
    <row r="36" spans="1:28" ht="85.5" x14ac:dyDescent="0.2">
      <c r="A36" s="129" t="s">
        <v>1217</v>
      </c>
      <c r="B36" s="129" t="s">
        <v>1123</v>
      </c>
      <c r="C36" s="129" t="s">
        <v>1202</v>
      </c>
      <c r="D36" s="129" t="s">
        <v>1148</v>
      </c>
      <c r="E36" s="129"/>
      <c r="F36" s="129" t="s">
        <v>1213</v>
      </c>
      <c r="G36" s="129"/>
      <c r="H36" s="129" t="s">
        <v>28</v>
      </c>
      <c r="I36" s="129"/>
      <c r="J36" s="8"/>
      <c r="K36" s="8"/>
      <c r="L36" s="8"/>
      <c r="M36" s="8"/>
      <c r="N36" s="8"/>
      <c r="O36" s="8"/>
      <c r="P36" s="8"/>
      <c r="Q36" s="8"/>
      <c r="R36" s="8"/>
      <c r="S36" s="8"/>
      <c r="T36" s="8"/>
      <c r="U36" s="8"/>
      <c r="V36" s="8"/>
      <c r="W36" s="8"/>
      <c r="X36" s="49"/>
      <c r="Y36" s="49"/>
      <c r="Z36" s="49"/>
      <c r="AA36" s="49"/>
    </row>
    <row r="37" spans="1:28" ht="71.25" x14ac:dyDescent="0.2">
      <c r="A37" s="129" t="s">
        <v>1218</v>
      </c>
      <c r="B37" s="129" t="s">
        <v>1204</v>
      </c>
      <c r="C37" s="129" t="s">
        <v>1206</v>
      </c>
      <c r="D37" s="129" t="s">
        <v>1205</v>
      </c>
      <c r="E37" s="129"/>
      <c r="F37" s="129" t="s">
        <v>1214</v>
      </c>
      <c r="G37" s="129"/>
      <c r="H37" s="129" t="s">
        <v>28</v>
      </c>
      <c r="I37" s="129"/>
      <c r="J37" s="8"/>
      <c r="K37" s="8"/>
      <c r="L37" s="8"/>
      <c r="M37" s="8"/>
      <c r="N37" s="8"/>
      <c r="O37" s="8"/>
      <c r="P37" s="8"/>
      <c r="Q37" s="8"/>
      <c r="R37" s="8"/>
      <c r="S37" s="8"/>
      <c r="T37" s="8"/>
      <c r="U37" s="8"/>
      <c r="V37" s="8"/>
      <c r="W37" s="8"/>
      <c r="X37" s="8"/>
      <c r="Y37" s="49"/>
      <c r="Z37" s="49"/>
      <c r="AA37" s="49"/>
      <c r="AB37" s="49"/>
    </row>
    <row r="38" spans="1:28"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49"/>
      <c r="Z38" s="49"/>
      <c r="AA38" s="49"/>
      <c r="AB38" s="49"/>
    </row>
    <row r="39" spans="1:28"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49"/>
      <c r="Z39" s="49"/>
      <c r="AA39" s="49"/>
      <c r="AB39" s="49"/>
    </row>
    <row r="40" spans="1:28"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49"/>
      <c r="Z40" s="49"/>
      <c r="AA40" s="49"/>
      <c r="AB40" s="49"/>
    </row>
    <row r="41" spans="1:28"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49"/>
      <c r="Z41" s="49"/>
      <c r="AA41" s="49"/>
      <c r="AB41" s="49"/>
    </row>
    <row r="42" spans="1:28"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49"/>
      <c r="Z42" s="49"/>
      <c r="AA42" s="49"/>
      <c r="AB42" s="49"/>
    </row>
    <row r="43" spans="1:28"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49"/>
      <c r="Z43" s="49"/>
      <c r="AA43" s="49"/>
      <c r="AB43" s="49"/>
    </row>
    <row r="44" spans="1:28"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49"/>
      <c r="Z44" s="49"/>
      <c r="AA44" s="49"/>
      <c r="AB44" s="49"/>
    </row>
    <row r="45" spans="1:28"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2.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2.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2.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2.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2.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2.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2.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2.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2.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2.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2.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2.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2.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2.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2.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2.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2.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2.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2.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2.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2.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2.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2.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2.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2.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2.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2.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2.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2.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2.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2.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2.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2.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2.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2.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2.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2.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2.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2.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2.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2.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2.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2.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2.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2.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2.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2.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2.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2.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2.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2.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2.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2.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2.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2.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2.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2.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2.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2.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2.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2.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2.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2.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2.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2.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2.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2.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2.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2.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2.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2.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2.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2.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2.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2.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2.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2.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2.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2.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2.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49"/>
      <c r="Z162" s="49"/>
      <c r="AA162" s="49"/>
      <c r="AB162" s="49"/>
    </row>
    <row r="163" spans="1:28" ht="12.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49"/>
      <c r="Z163" s="49"/>
      <c r="AA163" s="49"/>
      <c r="AB163" s="49"/>
    </row>
    <row r="164" spans="1:28" ht="12.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49"/>
      <c r="Z164" s="49"/>
      <c r="AA164" s="49"/>
      <c r="AB164" s="49"/>
    </row>
    <row r="165" spans="1:28" ht="12.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49"/>
      <c r="Z165" s="49"/>
      <c r="AA165" s="49"/>
      <c r="AB165" s="49"/>
    </row>
    <row r="166" spans="1:28" ht="12.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49"/>
      <c r="Z166" s="49"/>
      <c r="AA166" s="49"/>
      <c r="AB166" s="49"/>
    </row>
    <row r="167" spans="1:28" ht="12.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49"/>
      <c r="Z167" s="49"/>
      <c r="AA167" s="49"/>
      <c r="AB167" s="49"/>
    </row>
    <row r="168" spans="1:28" ht="12.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49"/>
      <c r="Z168" s="49"/>
      <c r="AA168" s="49"/>
      <c r="AB168" s="49"/>
    </row>
    <row r="169" spans="1:28" ht="12.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49"/>
      <c r="Z169" s="49"/>
      <c r="AA169" s="49"/>
      <c r="AB169" s="49"/>
    </row>
    <row r="170" spans="1:28" ht="12.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49"/>
      <c r="Z170" s="49"/>
      <c r="AA170" s="49"/>
      <c r="AB170" s="49"/>
    </row>
    <row r="171" spans="1:28" ht="12.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49"/>
      <c r="Z171" s="49"/>
      <c r="AA171" s="49"/>
      <c r="AB171" s="49"/>
    </row>
    <row r="172" spans="1:28" ht="12.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49"/>
      <c r="Z172" s="49"/>
      <c r="AA172" s="49"/>
      <c r="AB172" s="49"/>
    </row>
    <row r="173" spans="1:28" ht="12.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49"/>
      <c r="Z173" s="49"/>
      <c r="AA173" s="49"/>
      <c r="AB173" s="49"/>
    </row>
    <row r="174" spans="1:28" ht="12.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49"/>
      <c r="Z174" s="49"/>
      <c r="AA174" s="49"/>
      <c r="AB174" s="49"/>
    </row>
    <row r="175" spans="1:28" ht="12.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49"/>
      <c r="Z175" s="49"/>
      <c r="AA175" s="49"/>
      <c r="AB175" s="49"/>
    </row>
    <row r="176" spans="1:28" ht="12.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49"/>
      <c r="Z176" s="49"/>
      <c r="AA176" s="49"/>
      <c r="AB176" s="49"/>
    </row>
    <row r="177" spans="1:28" ht="12.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49"/>
      <c r="Z177" s="49"/>
      <c r="AA177" s="49"/>
      <c r="AB177" s="49"/>
    </row>
    <row r="178" spans="1:28" ht="12.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49"/>
      <c r="Z178" s="49"/>
      <c r="AA178" s="49"/>
      <c r="AB178" s="49"/>
    </row>
    <row r="179" spans="1:28" ht="12.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49"/>
      <c r="Z179" s="49"/>
      <c r="AA179" s="49"/>
      <c r="AB179" s="49"/>
    </row>
    <row r="180" spans="1:28" ht="12.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49"/>
      <c r="Z180" s="49"/>
      <c r="AA180" s="49"/>
      <c r="AB180" s="49"/>
    </row>
    <row r="181" spans="1:28" ht="12.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49"/>
      <c r="Z181" s="49"/>
      <c r="AA181" s="49"/>
      <c r="AB181" s="49"/>
    </row>
    <row r="182" spans="1:28" ht="12.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49"/>
      <c r="Z182" s="49"/>
      <c r="AA182" s="49"/>
      <c r="AB182" s="49"/>
    </row>
    <row r="183" spans="1:28" ht="12.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49"/>
      <c r="Z183" s="49"/>
      <c r="AA183" s="49"/>
      <c r="AB183" s="49"/>
    </row>
    <row r="184" spans="1:28" ht="12.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49"/>
      <c r="Z184" s="49"/>
      <c r="AA184" s="49"/>
      <c r="AB184" s="49"/>
    </row>
    <row r="185" spans="1:28" ht="12.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49"/>
      <c r="Z185" s="49"/>
      <c r="AA185" s="49"/>
      <c r="AB185" s="49"/>
    </row>
    <row r="186" spans="1:28" ht="12.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49"/>
      <c r="Z186" s="49"/>
      <c r="AA186" s="49"/>
      <c r="AB186" s="49"/>
    </row>
    <row r="187" spans="1:28" ht="12.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49"/>
      <c r="Z187" s="49"/>
      <c r="AA187" s="49"/>
      <c r="AB187" s="49"/>
    </row>
    <row r="188" spans="1:28" ht="12.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49"/>
      <c r="Z188" s="49"/>
      <c r="AA188" s="49"/>
      <c r="AB188" s="49"/>
    </row>
    <row r="189" spans="1:28" ht="12.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49"/>
      <c r="Z189" s="49"/>
      <c r="AA189" s="49"/>
      <c r="AB189" s="49"/>
    </row>
    <row r="190" spans="1:28" ht="12.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49"/>
      <c r="Z190" s="49"/>
      <c r="AA190" s="49"/>
      <c r="AB190" s="49"/>
    </row>
    <row r="191" spans="1:28" ht="12.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49"/>
      <c r="Z191" s="49"/>
      <c r="AA191" s="49"/>
      <c r="AB191" s="49"/>
    </row>
    <row r="192" spans="1:28" ht="12.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49"/>
      <c r="Z192" s="49"/>
      <c r="AA192" s="49"/>
      <c r="AB192" s="49"/>
    </row>
    <row r="193" spans="1:28" ht="12.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49"/>
      <c r="Z193" s="49"/>
      <c r="AA193" s="49"/>
      <c r="AB193" s="49"/>
    </row>
    <row r="194" spans="1:28" ht="12.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49"/>
      <c r="Z194" s="49"/>
      <c r="AA194" s="49"/>
      <c r="AB194" s="49"/>
    </row>
    <row r="195" spans="1:28" ht="12.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49"/>
      <c r="Z195" s="49"/>
      <c r="AA195" s="49"/>
      <c r="AB195" s="49"/>
    </row>
    <row r="196" spans="1:28" ht="12.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49"/>
      <c r="Z196" s="49"/>
      <c r="AA196" s="49"/>
      <c r="AB196" s="49"/>
    </row>
    <row r="197" spans="1:28" ht="12.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49"/>
      <c r="Z197" s="49"/>
      <c r="AA197" s="49"/>
      <c r="AB197" s="49"/>
    </row>
    <row r="198" spans="1:28" ht="12.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49"/>
      <c r="Z198" s="49"/>
      <c r="AA198" s="49"/>
      <c r="AB198" s="49"/>
    </row>
    <row r="199" spans="1:28" ht="12.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49"/>
      <c r="Z199" s="49"/>
      <c r="AA199" s="49"/>
      <c r="AB199" s="49"/>
    </row>
    <row r="200" spans="1:28" ht="12.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49"/>
      <c r="Z200" s="49"/>
      <c r="AA200" s="49"/>
      <c r="AB200" s="49"/>
    </row>
    <row r="201" spans="1:28" ht="12.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49"/>
      <c r="Z201" s="49"/>
      <c r="AA201" s="49"/>
      <c r="AB201" s="49"/>
    </row>
    <row r="202" spans="1:28" ht="12.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49"/>
      <c r="Z202" s="49"/>
      <c r="AA202" s="49"/>
      <c r="AB202" s="49"/>
    </row>
    <row r="203" spans="1:28" ht="12.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49"/>
      <c r="Z203" s="49"/>
      <c r="AA203" s="49"/>
      <c r="AB203" s="49"/>
    </row>
    <row r="204" spans="1:28" ht="12.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49"/>
      <c r="Z204" s="49"/>
      <c r="AA204" s="49"/>
      <c r="AB204" s="49"/>
    </row>
    <row r="205" spans="1:28" ht="12.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49"/>
      <c r="Z205" s="49"/>
      <c r="AA205" s="49"/>
      <c r="AB205" s="49"/>
    </row>
    <row r="206" spans="1:28" ht="12.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49"/>
      <c r="Z206" s="49"/>
      <c r="AA206" s="49"/>
      <c r="AB206" s="49"/>
    </row>
    <row r="207" spans="1:28" ht="12.75" customHeight="1" x14ac:dyDescent="0.2">
      <c r="A207" s="8"/>
      <c r="B207" s="8"/>
      <c r="C207" s="8"/>
      <c r="D207" s="8"/>
      <c r="E207" s="8"/>
      <c r="F207" s="8"/>
      <c r="G207" s="8"/>
      <c r="H207" s="8"/>
      <c r="I207" s="8"/>
      <c r="J207" s="49"/>
      <c r="K207" s="49"/>
      <c r="L207" s="49"/>
      <c r="M207" s="49"/>
      <c r="N207" s="49"/>
      <c r="O207" s="49"/>
      <c r="P207" s="49"/>
      <c r="Q207" s="49"/>
      <c r="R207" s="49"/>
      <c r="S207" s="49"/>
      <c r="T207" s="49"/>
      <c r="U207" s="49"/>
      <c r="V207" s="49"/>
      <c r="W207" s="49"/>
      <c r="X207" s="49"/>
      <c r="Y207" s="49"/>
      <c r="Z207" s="49"/>
      <c r="AA207" s="49"/>
      <c r="AB207" s="49"/>
    </row>
    <row r="208" spans="1:28" ht="12.75" customHeight="1" x14ac:dyDescent="0.2">
      <c r="A208" s="8"/>
      <c r="B208" s="8"/>
      <c r="C208" s="8"/>
      <c r="D208" s="8"/>
      <c r="E208" s="8"/>
      <c r="F208" s="8"/>
      <c r="G208" s="8"/>
      <c r="H208" s="8"/>
      <c r="I208" s="8"/>
      <c r="J208" s="49"/>
      <c r="K208" s="49"/>
      <c r="L208" s="49"/>
      <c r="M208" s="49"/>
      <c r="N208" s="49"/>
      <c r="O208" s="49"/>
      <c r="P208" s="49"/>
      <c r="Q208" s="49"/>
      <c r="R208" s="49"/>
      <c r="S208" s="49"/>
      <c r="T208" s="49"/>
      <c r="U208" s="49"/>
      <c r="V208" s="49"/>
      <c r="W208" s="49"/>
      <c r="X208" s="49"/>
      <c r="Y208" s="49"/>
      <c r="Z208" s="49"/>
      <c r="AA208" s="49"/>
      <c r="AB208" s="49"/>
    </row>
    <row r="209" spans="1:28" ht="12.75" customHeight="1" x14ac:dyDescent="0.2">
      <c r="A209" s="8"/>
      <c r="B209" s="8"/>
      <c r="C209" s="8"/>
      <c r="D209" s="8"/>
      <c r="E209" s="8"/>
      <c r="F209" s="8"/>
      <c r="G209" s="8"/>
      <c r="H209" s="8"/>
      <c r="I209" s="8"/>
      <c r="J209" s="49"/>
      <c r="K209" s="49"/>
      <c r="L209" s="49"/>
      <c r="M209" s="49"/>
      <c r="N209" s="49"/>
      <c r="O209" s="49"/>
      <c r="P209" s="49"/>
      <c r="Q209" s="49"/>
      <c r="R209" s="49"/>
      <c r="S209" s="49"/>
      <c r="T209" s="49"/>
      <c r="U209" s="49"/>
      <c r="V209" s="49"/>
      <c r="W209" s="49"/>
      <c r="X209" s="49"/>
      <c r="Y209" s="49"/>
      <c r="Z209" s="49"/>
      <c r="AA209" s="49"/>
      <c r="AB209" s="49"/>
    </row>
    <row r="210" spans="1:28" ht="12.75" customHeight="1" x14ac:dyDescent="0.2">
      <c r="A210" s="8"/>
      <c r="B210" s="8"/>
      <c r="C210" s="8"/>
      <c r="D210" s="8"/>
      <c r="E210" s="8"/>
      <c r="F210" s="8"/>
      <c r="G210" s="8"/>
      <c r="H210" s="8"/>
      <c r="I210" s="8"/>
      <c r="J210" s="49"/>
      <c r="K210" s="49"/>
      <c r="L210" s="49"/>
      <c r="M210" s="49"/>
      <c r="N210" s="49"/>
      <c r="O210" s="49"/>
      <c r="P210" s="49"/>
      <c r="Q210" s="49"/>
      <c r="R210" s="49"/>
      <c r="S210" s="49"/>
      <c r="T210" s="49"/>
      <c r="U210" s="49"/>
      <c r="V210" s="49"/>
      <c r="W210" s="49"/>
      <c r="X210" s="49"/>
      <c r="Y210" s="49"/>
      <c r="Z210" s="49"/>
      <c r="AA210" s="49"/>
      <c r="AB210" s="49"/>
    </row>
    <row r="211" spans="1:28" ht="12.75" customHeight="1" x14ac:dyDescent="0.2">
      <c r="A211" s="8"/>
      <c r="B211" s="8"/>
      <c r="C211" s="8"/>
      <c r="D211" s="8"/>
      <c r="E211" s="8"/>
      <c r="F211" s="8"/>
      <c r="G211" s="8"/>
      <c r="H211" s="8"/>
      <c r="I211" s="8"/>
      <c r="J211" s="49"/>
      <c r="K211" s="49"/>
      <c r="L211" s="49"/>
      <c r="M211" s="49"/>
      <c r="N211" s="49"/>
      <c r="O211" s="49"/>
      <c r="P211" s="49"/>
      <c r="Q211" s="49"/>
      <c r="R211" s="49"/>
      <c r="S211" s="49"/>
      <c r="T211" s="49"/>
      <c r="U211" s="49"/>
      <c r="V211" s="49"/>
      <c r="W211" s="49"/>
      <c r="X211" s="49"/>
      <c r="Y211" s="49"/>
      <c r="Z211" s="49"/>
      <c r="AA211" s="49"/>
      <c r="AB211" s="49"/>
    </row>
    <row r="212" spans="1:28" ht="12.75" customHeight="1" x14ac:dyDescent="0.2">
      <c r="A212" s="8"/>
      <c r="B212" s="8"/>
      <c r="C212" s="8"/>
      <c r="D212" s="8"/>
      <c r="E212" s="8"/>
      <c r="F212" s="8"/>
      <c r="G212" s="8"/>
      <c r="H212" s="8"/>
      <c r="I212" s="8"/>
      <c r="J212" s="49"/>
      <c r="K212" s="49"/>
      <c r="L212" s="49"/>
      <c r="M212" s="49"/>
      <c r="N212" s="49"/>
      <c r="O212" s="49"/>
      <c r="P212" s="49"/>
      <c r="Q212" s="49"/>
      <c r="R212" s="49"/>
      <c r="S212" s="49"/>
      <c r="T212" s="49"/>
      <c r="U212" s="49"/>
      <c r="V212" s="49"/>
      <c r="W212" s="49"/>
      <c r="X212" s="49"/>
      <c r="Y212" s="49"/>
      <c r="Z212" s="49"/>
      <c r="AA212" s="49"/>
      <c r="AB212" s="49"/>
    </row>
    <row r="213" spans="1:28" ht="12.75" customHeight="1" x14ac:dyDescent="0.2">
      <c r="A213" s="8"/>
      <c r="B213" s="8"/>
      <c r="C213" s="8"/>
      <c r="D213" s="8"/>
      <c r="E213" s="8"/>
      <c r="F213" s="8"/>
      <c r="G213" s="8"/>
      <c r="H213" s="8"/>
      <c r="I213" s="8"/>
      <c r="J213" s="49"/>
      <c r="K213" s="49"/>
      <c r="L213" s="49"/>
      <c r="M213" s="49"/>
      <c r="N213" s="49"/>
      <c r="O213" s="49"/>
      <c r="P213" s="49"/>
      <c r="Q213" s="49"/>
      <c r="R213" s="49"/>
      <c r="S213" s="49"/>
      <c r="T213" s="49"/>
      <c r="U213" s="49"/>
      <c r="V213" s="49"/>
      <c r="W213" s="49"/>
      <c r="X213" s="49"/>
      <c r="Y213" s="49"/>
      <c r="Z213" s="49"/>
      <c r="AA213" s="49"/>
      <c r="AB213" s="49"/>
    </row>
    <row r="214" spans="1:28" ht="12.75" customHeight="1" x14ac:dyDescent="0.2">
      <c r="A214" s="8"/>
      <c r="B214" s="8"/>
      <c r="C214" s="8"/>
      <c r="D214" s="8"/>
      <c r="E214" s="8"/>
      <c r="F214" s="8"/>
      <c r="G214" s="8"/>
      <c r="H214" s="8"/>
      <c r="I214" s="8"/>
      <c r="J214" s="49"/>
      <c r="K214" s="49"/>
      <c r="L214" s="49"/>
      <c r="M214" s="49"/>
      <c r="N214" s="49"/>
      <c r="O214" s="49"/>
      <c r="P214" s="49"/>
      <c r="Q214" s="49"/>
      <c r="R214" s="49"/>
      <c r="S214" s="49"/>
      <c r="T214" s="49"/>
      <c r="U214" s="49"/>
      <c r="V214" s="49"/>
      <c r="W214" s="49"/>
      <c r="X214" s="49"/>
      <c r="Y214" s="49"/>
      <c r="Z214" s="49"/>
      <c r="AA214" s="49"/>
      <c r="AB214" s="49"/>
    </row>
    <row r="215" spans="1:28" ht="12.75" customHeight="1" x14ac:dyDescent="0.2">
      <c r="A215" s="8"/>
      <c r="B215" s="8"/>
      <c r="C215" s="8"/>
      <c r="D215" s="8"/>
      <c r="E215" s="8"/>
      <c r="F215" s="8"/>
      <c r="G215" s="8"/>
      <c r="H215" s="8"/>
      <c r="I215" s="8"/>
      <c r="J215" s="49"/>
      <c r="K215" s="49"/>
      <c r="L215" s="49"/>
      <c r="M215" s="49"/>
      <c r="N215" s="49"/>
      <c r="O215" s="49"/>
      <c r="P215" s="49"/>
      <c r="Q215" s="49"/>
      <c r="R215" s="49"/>
      <c r="S215" s="49"/>
      <c r="T215" s="49"/>
      <c r="U215" s="49"/>
      <c r="V215" s="49"/>
      <c r="W215" s="49"/>
      <c r="X215" s="49"/>
      <c r="Y215" s="49"/>
      <c r="Z215" s="49"/>
      <c r="AA215" s="49"/>
      <c r="AB215" s="49"/>
    </row>
    <row r="216" spans="1:28" ht="12.75" customHeight="1" x14ac:dyDescent="0.2">
      <c r="A216" s="8"/>
      <c r="B216" s="8"/>
      <c r="C216" s="8"/>
      <c r="D216" s="8"/>
      <c r="E216" s="8"/>
      <c r="F216" s="8"/>
      <c r="G216" s="8"/>
      <c r="H216" s="8"/>
      <c r="I216" s="8"/>
      <c r="J216" s="49"/>
      <c r="K216" s="49"/>
      <c r="L216" s="49"/>
      <c r="M216" s="49"/>
      <c r="N216" s="49"/>
      <c r="O216" s="49"/>
      <c r="P216" s="49"/>
      <c r="Q216" s="49"/>
      <c r="R216" s="49"/>
      <c r="S216" s="49"/>
      <c r="T216" s="49"/>
      <c r="U216" s="49"/>
      <c r="V216" s="49"/>
      <c r="W216" s="49"/>
      <c r="X216" s="49"/>
      <c r="Y216" s="49"/>
      <c r="Z216" s="49"/>
      <c r="AA216" s="49"/>
      <c r="AB216" s="49"/>
    </row>
    <row r="217" spans="1:28" ht="12.75" customHeight="1" x14ac:dyDescent="0.2">
      <c r="A217" s="8"/>
      <c r="B217" s="8"/>
      <c r="C217" s="8"/>
      <c r="D217" s="8"/>
      <c r="E217" s="8"/>
      <c r="F217" s="8"/>
      <c r="G217" s="8"/>
      <c r="H217" s="8"/>
      <c r="I217" s="8"/>
      <c r="J217" s="49"/>
      <c r="K217" s="49"/>
      <c r="L217" s="49"/>
      <c r="M217" s="49"/>
      <c r="N217" s="49"/>
      <c r="O217" s="49"/>
      <c r="P217" s="49"/>
      <c r="Q217" s="49"/>
      <c r="R217" s="49"/>
      <c r="S217" s="49"/>
      <c r="T217" s="49"/>
      <c r="U217" s="49"/>
      <c r="V217" s="49"/>
      <c r="W217" s="49"/>
      <c r="X217" s="49"/>
      <c r="Y217" s="49"/>
      <c r="Z217" s="49"/>
      <c r="AA217" s="49"/>
      <c r="AB217" s="49"/>
    </row>
    <row r="218" spans="1:28" ht="12.75" customHeight="1"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2.75" customHeight="1"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2.75" customHeight="1"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2.75" customHeight="1"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2.75" customHeight="1"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2.75" customHeight="1"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2.75" customHeight="1"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2.75" customHeight="1"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2.75" customHeight="1"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2.75" customHeight="1"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2.75" customHeight="1"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2.75" customHeight="1"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2.75" customHeight="1"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2.75" customHeight="1"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2.75" customHeight="1"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2.75" customHeight="1"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2.75" customHeight="1"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2.75" customHeight="1"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2.75" customHeight="1"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2.75" customHeight="1"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2.75" customHeight="1"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2.75" customHeight="1"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2.75" customHeight="1"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2.75" customHeight="1"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2.75" customHeight="1"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2.75" customHeight="1"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2.75" customHeight="1"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2.75" customHeight="1"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2.75" customHeight="1"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2.75" customHeight="1"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2.75" customHeight="1"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2.75" customHeight="1"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2.75" customHeight="1"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2.75" customHeight="1"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2.75" customHeight="1"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2.75" customHeight="1"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2.75" customHeight="1"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2.75" customHeight="1"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2.75" customHeight="1"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2.75" customHeight="1"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2.75" customHeight="1"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2.75" customHeight="1"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2.75" customHeight="1"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2.75" customHeight="1"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2.75" customHeight="1"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2.75" customHeight="1"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2.75" customHeight="1"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2.75" customHeight="1"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2.75" customHeight="1"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2.75" customHeight="1"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2.75" customHeight="1"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2.75" customHeight="1"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2.75" customHeight="1"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2.75" customHeight="1"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2.75" customHeight="1"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2.75" customHeight="1"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2.75" customHeight="1"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2.75" customHeight="1"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2.75" customHeight="1"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2.75" customHeight="1"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2.75" customHeight="1"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2.75" customHeight="1"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2.75" customHeight="1"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2.75" customHeight="1"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2.75" customHeight="1"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2.75" customHeight="1"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2.75" customHeight="1"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2.75" customHeight="1"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2.75" customHeight="1"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2.75" customHeight="1"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2.75" customHeight="1"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2.75" customHeight="1"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2.75" customHeight="1"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2.75" customHeight="1"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2.75" customHeight="1"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2.75" customHeight="1"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2.75" customHeight="1"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2.75" customHeight="1"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2.75" customHeight="1"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2.75" customHeight="1"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2.75" customHeight="1"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2.75" customHeight="1"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2.75" customHeight="1"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2.75" customHeight="1"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2.75" customHeight="1"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2.75" customHeight="1"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2.75" customHeight="1"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2.75" customHeight="1"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2.75" customHeight="1"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2.75" customHeight="1"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2.75" customHeight="1"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2.75" customHeight="1"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2.75" customHeight="1"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2.75" customHeight="1"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2.75" customHeight="1"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2.75" customHeight="1"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2.75" customHeight="1"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2.75" customHeight="1"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2.75" customHeight="1"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2.75" customHeight="1"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2.75" customHeight="1"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2.75" customHeight="1"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2.75" customHeight="1"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2.75" customHeight="1"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2.75" customHeight="1"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2.75" customHeight="1"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2.75" customHeight="1"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2.75" customHeight="1"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2.75" customHeight="1"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2.75" customHeight="1"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2.75" customHeight="1"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2.75" customHeight="1"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2.75" customHeight="1"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2.75" customHeight="1"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2.75" customHeight="1"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2.75" customHeight="1"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2.75" customHeight="1"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2.75" customHeight="1"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2.75" customHeight="1"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2.75" customHeight="1"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2.75" customHeight="1"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2.75" customHeight="1"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2.75" customHeight="1"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2.75" customHeight="1"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2.75" customHeight="1"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2.75" customHeight="1"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2.75" customHeight="1"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2.75" customHeight="1"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2.75" customHeight="1"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2.75" customHeight="1"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2.75" customHeight="1"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2.75" customHeight="1"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2.75" customHeight="1"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2.75" customHeight="1"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2.75" customHeight="1"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2.75" customHeight="1"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2.75" customHeight="1"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2.75" customHeight="1"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2.75" customHeight="1"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2.75" customHeight="1"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2.75" customHeight="1"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2.75" customHeight="1"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2.75" customHeight="1"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2.75" customHeight="1"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2.75" customHeight="1"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2.75" customHeight="1"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2.75" customHeight="1"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2.75" customHeight="1"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2.75" customHeight="1"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2.75" customHeight="1"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2.75" customHeight="1"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2.75" customHeight="1"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2.75" customHeight="1"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2.75" customHeight="1"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2.75" customHeight="1"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2.75" customHeight="1"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2.75" customHeight="1"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2.75" customHeight="1"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2.75" customHeight="1"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2.75" customHeight="1"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2.75" customHeight="1"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2.75" customHeight="1"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2.75" customHeight="1"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2.75" customHeight="1"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2.75" customHeight="1"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2.75" customHeight="1"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2.75" customHeight="1"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2.75" customHeight="1"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2.75" customHeight="1"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2.75" customHeight="1"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2.75" customHeight="1"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2.75" customHeight="1"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2.75" customHeight="1"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2.75" customHeight="1"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2.75" customHeight="1"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2.75" customHeight="1"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2.75" customHeight="1"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2.75" customHeight="1"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2.75" customHeight="1"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2.75" customHeight="1"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2.75" customHeight="1"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2.75" customHeight="1"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2.75" customHeight="1"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2.75" customHeight="1"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2.75" customHeight="1"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2.75" customHeight="1"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2.75" customHeight="1"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2.75" customHeight="1"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2.75" customHeight="1"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2.75" customHeight="1"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2.75" customHeight="1"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2.75" customHeight="1"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2.75" customHeight="1"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2.75" customHeight="1"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2.75" customHeight="1"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2.75" customHeight="1"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2.75" customHeight="1"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2.75" customHeight="1"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2.75" customHeight="1"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2.75" customHeight="1"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2.75" customHeight="1"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2.75" customHeight="1"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2.75" customHeight="1"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2.75" customHeight="1"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2.75" customHeight="1"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2.75" customHeight="1"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2.75" customHeight="1"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2.75" customHeight="1"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2.75" customHeight="1"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2.75" customHeight="1"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2.75" customHeight="1"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2.75" customHeight="1"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2.75" customHeight="1"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2.75" customHeight="1"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2.75" customHeight="1"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2.75" customHeight="1"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2.75" customHeight="1"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2.75" customHeight="1"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2.75" customHeight="1"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2.75" customHeight="1"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2.75" customHeight="1"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2.75" customHeight="1"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2.75" customHeight="1"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2.75" customHeight="1"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2.75" customHeight="1"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2.75" customHeight="1"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2.75" customHeight="1"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2.75" customHeight="1"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2.75" customHeight="1"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2.75" customHeight="1"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2.75" customHeight="1"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2.75" customHeight="1"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2.75" customHeight="1"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2.75" customHeight="1"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2.75" customHeight="1"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2.75" customHeight="1"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2.75" customHeight="1"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2.75" customHeight="1"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2.75" customHeight="1"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2.75" customHeight="1"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2.75" customHeight="1"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2.75" customHeight="1"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2.75" customHeight="1"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2.75" customHeight="1"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2.75" customHeight="1"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2.75" customHeight="1"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2.75" customHeight="1"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2.75" customHeight="1"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2.75" customHeight="1"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2.75" customHeight="1"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2.75" customHeight="1"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2.75" customHeight="1"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2.75" customHeight="1"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2.75" customHeight="1"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2.75" customHeight="1"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2.75" customHeight="1"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2.75" customHeight="1"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2.75" customHeight="1"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2.75" customHeight="1"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2.75" customHeight="1"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2.75" customHeight="1"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2.75" customHeight="1"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2.75" customHeight="1"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2.75" customHeight="1"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2.75" customHeight="1"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2.75" customHeight="1"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2.75" customHeight="1"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2.75" customHeight="1"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2.75" customHeight="1"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2.75" customHeight="1"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2.75" customHeight="1"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2.75" customHeight="1"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2.75" customHeight="1"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2.75" customHeight="1"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2.75" customHeight="1"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2.75" customHeight="1"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2.75" customHeight="1"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2.75" customHeight="1"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2.75" customHeight="1"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2.75" customHeight="1"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2.75" customHeight="1"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2.75" customHeight="1"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2.75" customHeight="1"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2.75" customHeight="1"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2.75" customHeight="1"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2.75" customHeight="1"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2.75" customHeight="1"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2.75" customHeight="1"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2.75" customHeight="1"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2.75" customHeight="1"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2.75" customHeight="1"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2.75" customHeight="1"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2.75" customHeight="1"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2.75" customHeight="1"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2.75" customHeight="1"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2.75" customHeight="1"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2.75" customHeight="1"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2.75" customHeight="1"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2.75" customHeight="1"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2.75" customHeight="1"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2.75" customHeight="1"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2.75" customHeight="1"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2.75" customHeight="1"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2.75" customHeight="1"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2.75" customHeight="1"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2.75" customHeight="1"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2.75" customHeight="1"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2.75" customHeight="1"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2.75" customHeight="1"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2.75" customHeight="1"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2.75" customHeight="1"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2.75" customHeight="1"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2.75" customHeight="1"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2.75" customHeight="1"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2.75" customHeight="1"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2.75" customHeight="1"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2.75" customHeight="1"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2.75" customHeight="1"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2.75" customHeight="1"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2.75" customHeight="1"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2.75" customHeight="1"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2.75" customHeight="1"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2.75" customHeight="1"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2.75" customHeight="1"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2.75" customHeight="1"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2.75" customHeight="1"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2.75" customHeight="1"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2.75" customHeight="1"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2.75" customHeight="1"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2.75" customHeight="1"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2.75" customHeight="1"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2.75" customHeight="1"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2.75" customHeight="1"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2.75" customHeight="1"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2.75" customHeight="1"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2.75" customHeight="1"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2.75" customHeight="1"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2.75" customHeight="1"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2.75" customHeight="1"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2.75" customHeight="1"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2.75" customHeight="1"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2.75" customHeight="1"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2.75" customHeight="1"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2.75" customHeight="1"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2.75" customHeight="1"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2.75" customHeight="1"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2.75" customHeight="1"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2.75" customHeight="1"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2.75" customHeight="1"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2.75" customHeight="1"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2.75" customHeight="1"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2.75" customHeight="1"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2.75" customHeight="1"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2.75" customHeight="1"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2.75" customHeight="1"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2.75" customHeight="1"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2.75" customHeight="1"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2.75" customHeight="1"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2.75" customHeight="1"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2.75" customHeight="1"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2.75" customHeight="1"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2.75" customHeight="1"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2.75" customHeight="1"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2.75" customHeight="1"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2.75" customHeight="1"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2.75" customHeight="1"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2.75" customHeight="1"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2.75" customHeight="1"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2.75" customHeight="1"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2.75" customHeight="1"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2.75" customHeight="1"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2.75" customHeight="1"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2.75" customHeight="1"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2.75" customHeight="1"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2.75" customHeight="1"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2.75" customHeight="1"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2.75" customHeight="1"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2.75" customHeight="1"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2.75" customHeight="1"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2.75" customHeight="1"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2.75" customHeight="1"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2.75" customHeight="1"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2.75" customHeight="1"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2.75" customHeight="1"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2.75" customHeight="1"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2.75" customHeight="1"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2.75" customHeight="1"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2.75" customHeight="1"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2.75" customHeight="1"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2.75" customHeight="1"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2.75" customHeight="1"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2.75" customHeight="1"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2.75" customHeight="1"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2.75" customHeight="1"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2.75" customHeight="1"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2.75" customHeight="1"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2.75" customHeight="1"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2.75" customHeight="1"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2.75" customHeight="1"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2.75" customHeight="1"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2.75" customHeight="1"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2.75" customHeight="1"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2.75" customHeight="1"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2.75" customHeight="1"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2.75" customHeight="1"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2.75" customHeight="1"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2.75" customHeight="1"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2.75" customHeight="1"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2.75" customHeight="1"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2.75" customHeight="1"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2.75" customHeight="1"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2.75" customHeight="1"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2.75" customHeight="1"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2.75" customHeight="1"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2.75" customHeight="1"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2.75" customHeight="1"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2.75" customHeight="1"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2.75" customHeight="1"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2.75" customHeight="1"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2.75" customHeight="1"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2.75" customHeight="1"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2.75" customHeight="1"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2.75" customHeight="1"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2.75" customHeight="1"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2.75" customHeight="1"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2.75" customHeight="1"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2.75" customHeight="1"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2.75" customHeight="1"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2.75" customHeight="1"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2.75" customHeight="1"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2.75" customHeight="1"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2.75" customHeight="1"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2.75" customHeight="1"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2.75" customHeight="1"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2.75" customHeight="1"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2.75" customHeight="1"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2.75" customHeight="1"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2.75" customHeight="1"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2.75" customHeight="1"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2.75" customHeight="1"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2.75" customHeight="1"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2.75" customHeight="1"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2.75" customHeight="1"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2.75" customHeight="1"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2.75" customHeight="1"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2.75" customHeight="1"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2.75" customHeight="1"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2.75" customHeight="1"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2.75" customHeight="1"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2.75" customHeight="1"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2.75" customHeight="1"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2.75" customHeight="1"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2.75" customHeight="1"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2.75" customHeight="1"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2.75" customHeight="1"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2.75" customHeight="1"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2.75" customHeight="1"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2.75" customHeight="1"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2.75" customHeight="1"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2.75" customHeight="1"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2.75" customHeight="1"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2.75" customHeight="1"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2.75" customHeight="1"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2.75" customHeight="1"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2.75" customHeight="1"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2.75" customHeight="1"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2.75" customHeight="1"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2.75" customHeight="1"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2.75" customHeight="1"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2.75" customHeight="1"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2.75" customHeight="1"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2.75" customHeight="1"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2.75" customHeight="1"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2.75" customHeight="1"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2.75" customHeight="1"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2.75" customHeight="1"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2.75" customHeight="1"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2.75" customHeight="1"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2.75" customHeight="1"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2.75" customHeight="1"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2.75" customHeight="1"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2.75" customHeight="1"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2.75" customHeight="1"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2.75" customHeight="1"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2.75" customHeight="1"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2.75" customHeight="1"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2.75" customHeight="1"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2.75" customHeight="1"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2.75" customHeight="1"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2.75" customHeight="1"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2.75" customHeight="1"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2.75" customHeight="1"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2.75" customHeight="1"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2.75" customHeight="1"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2.75" customHeight="1"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2.75" customHeight="1"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2.75" customHeight="1"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2.75" customHeight="1"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2.75" customHeight="1"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2.75" customHeight="1"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2.75" customHeight="1"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2.75" customHeight="1"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2.75" customHeight="1"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2.75" customHeight="1"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2.75" customHeight="1"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2.75" customHeight="1"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2.75" customHeight="1"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2.75" customHeight="1"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2.75" customHeight="1"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2.75" customHeight="1"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2.75" customHeight="1"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2.75" customHeight="1"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2.75" customHeight="1"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2.75" customHeight="1"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2.75" customHeight="1"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2.75" customHeight="1"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2.75" customHeight="1"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2.75" customHeight="1"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2.75" customHeight="1"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2.75" customHeight="1"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2.75" customHeight="1"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2.75" customHeight="1"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2.75" customHeight="1"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2.75" customHeight="1"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2.75" customHeight="1"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2.75" customHeight="1"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2.75" customHeight="1"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2.75" customHeight="1"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2.75" customHeight="1"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2.75" customHeight="1"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2.75" customHeight="1"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2.75" customHeight="1"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2.75" customHeight="1"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2.75" customHeight="1"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2.75" customHeight="1"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2.75" customHeight="1"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2.75" customHeight="1"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2.75" customHeight="1"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2.75" customHeight="1"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2.75" customHeight="1"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2.75" customHeight="1"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2.75" customHeight="1"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2.75" customHeight="1"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2.75" customHeight="1"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2.75" customHeight="1"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2.75" customHeight="1"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2.75" customHeight="1"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2.75" customHeight="1"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2.75" customHeight="1"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2.75" customHeight="1"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2.75" customHeight="1"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2.75" customHeight="1"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2.75" customHeight="1"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2.75" customHeight="1"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2.75" customHeight="1"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2.75" customHeight="1"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2.75" customHeight="1"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2.75" customHeight="1"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2.75" customHeight="1"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2.75" customHeight="1"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2.75" customHeight="1"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2.75" customHeight="1"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2.75" customHeight="1"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2.75" customHeight="1"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2.75" customHeight="1"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2.75" customHeight="1"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2.75" customHeight="1"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2.75" customHeight="1"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2.75" customHeight="1"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2.75" customHeight="1"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2.75" customHeight="1"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2.75" customHeight="1"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2.75" customHeight="1"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2.75" customHeight="1"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2.75" customHeight="1"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2.75" customHeight="1"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2.75" customHeight="1"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2.75" customHeight="1"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2.75" customHeight="1"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2.75" customHeight="1"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2.75" customHeight="1"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2.75" customHeight="1"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2.75" customHeight="1"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2.75" customHeight="1"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2.75" customHeight="1"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2.75" customHeight="1"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2.75" customHeight="1"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2.75" customHeight="1"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2.75" customHeight="1"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2.75" customHeight="1"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2.75" customHeight="1"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2.75" customHeight="1"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2.75" customHeight="1"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2.75" customHeight="1"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2.75" customHeight="1"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2.75" customHeight="1"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2.75" customHeight="1"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2.75" customHeight="1"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2.75" customHeight="1"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2.75" customHeight="1"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2.75" customHeight="1"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2.75" customHeight="1"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2.75" customHeight="1"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2.75" customHeight="1"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2.75" customHeight="1"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2.75" customHeight="1"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2.75" customHeight="1"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2.75" customHeight="1"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2.75" customHeight="1"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2.75" customHeight="1"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2.75" customHeight="1"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2.75" customHeight="1"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2.75" customHeight="1"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2.75" customHeight="1"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2.75" customHeight="1"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2.75" customHeight="1"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2.75" customHeight="1"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2.75" customHeight="1"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2.75" customHeight="1"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2.75" customHeight="1"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2.75" customHeight="1"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2.75" customHeight="1"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2.75" customHeight="1"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2.75" customHeight="1"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2.75" customHeight="1"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2.75" customHeight="1"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2.75" customHeight="1"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2.75" customHeight="1"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2.75" customHeight="1"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2.75" customHeight="1"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2.75" customHeight="1"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2.75" customHeight="1"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2.75" customHeight="1"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2.75" customHeight="1"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2.75" customHeight="1"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2.75" customHeight="1"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2.75" customHeight="1"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2.75" customHeight="1"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2.75" customHeight="1"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2.75" customHeight="1"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2.75" customHeight="1"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2.75" customHeight="1"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2.75" customHeight="1"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2.75" customHeight="1"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2.75" customHeight="1"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2.75" customHeight="1"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2.75" customHeight="1"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2.75" customHeight="1"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2.75" customHeight="1"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2.75" customHeight="1"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2.75" customHeight="1"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2.75" customHeight="1"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2.75" customHeight="1"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2.75" customHeight="1"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2.75" customHeight="1"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2.75" customHeight="1"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2.75" customHeight="1"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2.75" customHeight="1"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2.75" customHeight="1"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2.75" customHeight="1"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2.75" customHeight="1"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2.75" customHeight="1"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2.75" customHeight="1"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2.75" customHeight="1"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2.75" customHeight="1"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2.75" customHeight="1"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2.75" customHeight="1"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2.75" customHeight="1"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2.75" customHeight="1"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2.75" customHeight="1"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2.75" customHeight="1"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2.75" customHeight="1"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2.75" customHeight="1"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2.75" customHeight="1"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2.75" customHeight="1"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2.75" customHeight="1"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2.75" customHeight="1"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2.75" customHeight="1"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2.75" customHeight="1"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2.75" customHeight="1"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2.75" customHeight="1"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2.75" customHeight="1"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2.75" customHeight="1"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2.75" customHeight="1"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2.75" customHeight="1"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2.75" customHeight="1"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2.75" customHeight="1"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2.75" customHeight="1"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2.75" customHeight="1"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2.75" customHeight="1"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2.75" customHeight="1"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2.75" customHeight="1"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2.75" customHeight="1"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2.75" customHeight="1"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2.75" customHeight="1"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2.75" customHeight="1"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2.75" customHeight="1"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2.75" customHeight="1"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2.75" customHeight="1"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2.75" customHeight="1"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2.75" customHeight="1"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2.75" customHeight="1"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2.75" customHeight="1"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2.75" customHeight="1"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2.75" customHeight="1"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2.75" customHeight="1"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2.75" customHeight="1"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2.75" customHeight="1"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2.75" customHeight="1"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2.75" customHeight="1"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2.75" customHeight="1"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2.75" customHeight="1"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2.75" customHeight="1"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2.75" customHeight="1"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2.75" customHeight="1"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2.75" customHeight="1"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2.75" customHeight="1"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2.75" customHeight="1"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2.75" customHeight="1"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2.75" customHeight="1"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2.75" customHeight="1"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2.75" customHeight="1"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row>
    <row r="940" spans="1:28" ht="12.75" customHeight="1"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row>
    <row r="941" spans="1:28" ht="12.75" customHeight="1"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row>
    <row r="942" spans="1:28" ht="12.75" customHeight="1"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row>
    <row r="943" spans="1:28" ht="12.75" customHeight="1"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row>
    <row r="944" spans="1:28" ht="12.75" customHeight="1"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row>
    <row r="945" spans="1:28" ht="12.75" customHeight="1"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row>
    <row r="946" spans="1:28" ht="12.75" customHeight="1"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row>
    <row r="947" spans="1:28" ht="12.75" customHeight="1"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row>
    <row r="948" spans="1:28" ht="12.75" customHeight="1"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row>
    <row r="949" spans="1:28" ht="12.75" customHeight="1"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row>
    <row r="950" spans="1:28" ht="12.75" customHeight="1"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row>
    <row r="951" spans="1:28" ht="12.75" customHeight="1"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row>
    <row r="952" spans="1:28" ht="12.75" customHeight="1"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row>
    <row r="953" spans="1:28" ht="12.75" customHeight="1"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row>
    <row r="954" spans="1:28" ht="12.75" customHeight="1"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row>
    <row r="955" spans="1:28" ht="12.75" customHeight="1"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row>
    <row r="956" spans="1:28" ht="12.75" customHeight="1"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row>
    <row r="957" spans="1:28" ht="12.75" customHeight="1"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row>
    <row r="958" spans="1:28" ht="12.75" customHeight="1"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row>
    <row r="959" spans="1:28" ht="12.75" customHeight="1"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row>
    <row r="960" spans="1:28" ht="12.75" customHeight="1"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row>
    <row r="961" spans="1:28" ht="12.75" customHeight="1"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row>
    <row r="962" spans="1:28" ht="12.75" customHeight="1"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row>
    <row r="963" spans="1:28" ht="12.75" customHeight="1"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row>
    <row r="964" spans="1:28" ht="12.75" customHeight="1"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row>
    <row r="965" spans="1:28" ht="12.75" customHeight="1"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row>
    <row r="966" spans="1:28" ht="12.75" customHeight="1"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row>
    <row r="967" spans="1:28" ht="12.75" customHeight="1" x14ac:dyDescent="0.2">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row>
    <row r="968" spans="1:28" ht="12.75" customHeight="1" x14ac:dyDescent="0.2">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row>
    <row r="969" spans="1:28" ht="12.75" customHeight="1" x14ac:dyDescent="0.2">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row>
    <row r="970" spans="1:28" ht="12.75" customHeight="1" x14ac:dyDescent="0.2">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row>
    <row r="971" spans="1:28" ht="12.75" customHeight="1" x14ac:dyDescent="0.2">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row>
    <row r="972" spans="1:28" ht="12.75" customHeight="1" x14ac:dyDescent="0.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row>
    <row r="973" spans="1:28" ht="12.75" customHeight="1" x14ac:dyDescent="0.2">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row>
    <row r="974" spans="1:28" ht="12.75" customHeight="1" x14ac:dyDescent="0.2">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row>
    <row r="975" spans="1:28" ht="12.75" customHeight="1" x14ac:dyDescent="0.2">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row>
    <row r="976" spans="1:28" ht="12.75" customHeight="1" x14ac:dyDescent="0.2">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c r="AB976" s="49"/>
    </row>
    <row r="977" spans="1:28" ht="12.75" customHeight="1" x14ac:dyDescent="0.2">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c r="AB977" s="49"/>
    </row>
    <row r="978" spans="1:28" ht="12.75" customHeight="1" x14ac:dyDescent="0.2">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c r="AB978" s="49"/>
    </row>
    <row r="979" spans="1:28" ht="12.75" customHeight="1" x14ac:dyDescent="0.2">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c r="AB979" s="49"/>
    </row>
    <row r="980" spans="1:28" ht="12.75" customHeight="1" x14ac:dyDescent="0.2">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c r="AB980" s="49"/>
    </row>
    <row r="981" spans="1:28" ht="12.75" customHeight="1" x14ac:dyDescent="0.2">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c r="AB981" s="49"/>
    </row>
    <row r="982" spans="1:28" ht="12.75" customHeight="1" x14ac:dyDescent="0.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c r="AB982" s="49"/>
    </row>
    <row r="983" spans="1:28" ht="12.75" customHeight="1" x14ac:dyDescent="0.2">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c r="AB983" s="49"/>
    </row>
    <row r="984" spans="1:28" ht="15" customHeight="1" x14ac:dyDescent="0.2">
      <c r="A984" s="49"/>
      <c r="B984" s="49"/>
      <c r="C984" s="49"/>
      <c r="D984" s="49"/>
      <c r="E984" s="49"/>
      <c r="F984" s="49"/>
      <c r="G984" s="49"/>
      <c r="H984" s="49"/>
      <c r="I984" s="49"/>
    </row>
    <row r="985" spans="1:28" ht="15" customHeight="1" x14ac:dyDescent="0.2">
      <c r="A985" s="49"/>
      <c r="B985" s="49"/>
      <c r="C985" s="49"/>
      <c r="D985" s="49"/>
      <c r="E985" s="49"/>
      <c r="F985" s="49"/>
      <c r="G985" s="49"/>
      <c r="H985" s="49"/>
      <c r="I985" s="49"/>
    </row>
    <row r="986" spans="1:28" ht="15" customHeight="1" x14ac:dyDescent="0.2">
      <c r="A986" s="49"/>
      <c r="B986" s="49"/>
      <c r="C986" s="49"/>
      <c r="D986" s="49"/>
      <c r="E986" s="49"/>
      <c r="F986" s="49"/>
      <c r="G986" s="49"/>
      <c r="H986" s="49"/>
      <c r="I986" s="49"/>
    </row>
    <row r="987" spans="1:28" ht="15" customHeight="1" x14ac:dyDescent="0.2">
      <c r="A987" s="49"/>
      <c r="B987" s="49"/>
      <c r="C987" s="49"/>
      <c r="D987" s="49"/>
      <c r="E987" s="49"/>
      <c r="F987" s="49"/>
      <c r="G987" s="49"/>
      <c r="H987" s="49"/>
      <c r="I987" s="49"/>
    </row>
    <row r="988" spans="1:28" ht="15" customHeight="1" x14ac:dyDescent="0.2">
      <c r="A988" s="49"/>
      <c r="B988" s="49"/>
      <c r="C988" s="49"/>
      <c r="D988" s="49"/>
      <c r="E988" s="49"/>
      <c r="F988" s="49"/>
      <c r="G988" s="49"/>
      <c r="H988" s="49"/>
      <c r="I988" s="49"/>
    </row>
    <row r="989" spans="1:28" ht="15" customHeight="1" x14ac:dyDescent="0.2">
      <c r="A989" s="49"/>
      <c r="B989" s="49"/>
      <c r="C989" s="49"/>
      <c r="D989" s="49"/>
      <c r="E989" s="49"/>
      <c r="F989" s="49"/>
      <c r="G989" s="49"/>
      <c r="H989" s="49"/>
      <c r="I989" s="49"/>
    </row>
    <row r="990" spans="1:28" ht="15" customHeight="1" x14ac:dyDescent="0.2">
      <c r="A990" s="49"/>
      <c r="B990" s="49"/>
      <c r="C990" s="49"/>
      <c r="D990" s="49"/>
      <c r="E990" s="49"/>
      <c r="F990" s="49"/>
      <c r="G990" s="49"/>
      <c r="H990" s="49"/>
      <c r="I990" s="49"/>
    </row>
    <row r="991" spans="1:28" ht="15" customHeight="1" x14ac:dyDescent="0.2">
      <c r="A991" s="49"/>
      <c r="B991" s="49"/>
      <c r="C991" s="49"/>
      <c r="D991" s="49"/>
      <c r="E991" s="49"/>
      <c r="F991" s="49"/>
      <c r="G991" s="49"/>
      <c r="H991" s="49"/>
      <c r="I991" s="49"/>
    </row>
    <row r="992" spans="1:28" ht="15" customHeight="1" x14ac:dyDescent="0.2">
      <c r="A992" s="49"/>
      <c r="B992" s="49"/>
      <c r="C992" s="49"/>
      <c r="D992" s="49"/>
      <c r="E992" s="49"/>
      <c r="F992" s="49"/>
      <c r="G992" s="49"/>
      <c r="H992" s="49"/>
      <c r="I992" s="49"/>
    </row>
    <row r="993" spans="1:9" ht="15" customHeight="1" x14ac:dyDescent="0.2">
      <c r="A993" s="49"/>
      <c r="B993" s="49"/>
      <c r="C993" s="49"/>
      <c r="D993" s="49"/>
      <c r="E993" s="49"/>
      <c r="F993" s="49"/>
      <c r="G993" s="49"/>
      <c r="H993" s="49"/>
      <c r="I993" s="49"/>
    </row>
    <row r="994" spans="1:9" ht="15" customHeight="1" x14ac:dyDescent="0.2">
      <c r="A994" s="49"/>
      <c r="B994" s="49"/>
      <c r="C994" s="49"/>
      <c r="D994" s="49"/>
      <c r="E994" s="49"/>
      <c r="F994" s="49"/>
      <c r="G994" s="49"/>
      <c r="H994" s="49"/>
      <c r="I994" s="49"/>
    </row>
  </sheetData>
  <dataConsolidate/>
  <mergeCells count="3">
    <mergeCell ref="A21:F21"/>
    <mergeCell ref="A34:F34"/>
    <mergeCell ref="A9:F9"/>
  </mergeCells>
  <phoneticPr fontId="25" type="noConversion"/>
  <dataValidations count="2">
    <dataValidation type="list" allowBlank="1" showInputMessage="1" showErrorMessage="1" sqref="G15:G19 G10:G13" xr:uid="{6E73725B-F8B5-43AD-A1F6-A98C2B57EAB3}">
      <formula1>"'Pass','Fail','Untest"",'N/A'"</formula1>
    </dataValidation>
    <dataValidation type="list" allowBlank="1" showInputMessage="1" showErrorMessage="1" sqref="H10:H37" xr:uid="{20F55E7E-DAED-4F0E-AA41-4068C14D6DFD}">
      <formula1>"'Pass,'Fail,'Untest,'N/A"</formula1>
    </dataValidation>
  </dataValidations>
  <hyperlinks>
    <hyperlink ref="B2" location="null!A1" display="Back to TestReport" xr:uid="{C43ECA8C-6B93-4E5A-AAC7-C8394A7A626D}"/>
  </hyperlinks>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D4C0-872F-4F53-AD6B-D2C74A628F53}">
  <sheetPr>
    <outlinePr summaryBelow="0" summaryRight="0"/>
  </sheetPr>
  <dimension ref="A1:AB949"/>
  <sheetViews>
    <sheetView zoomScaleNormal="100" workbookViewId="0">
      <pane xSplit="1" ySplit="8" topLeftCell="B16" activePane="bottomRight" state="frozen"/>
      <selection pane="topRight" activeCell="B1" sqref="B1"/>
      <selection pane="bottomLeft" activeCell="A9" sqref="A9"/>
      <selection pane="bottomRight" activeCell="H20" sqref="H20:H27"/>
    </sheetView>
  </sheetViews>
  <sheetFormatPr defaultColWidth="12.625" defaultRowHeight="15" customHeight="1" x14ac:dyDescent="0.15"/>
  <cols>
    <col min="1" max="1" width="12.75" customWidth="1"/>
    <col min="2" max="2" width="23.875" bestFit="1" customWidth="1"/>
    <col min="3" max="3" width="22.75" customWidth="1"/>
    <col min="4" max="4" width="20.25" customWidth="1"/>
    <col min="5" max="5" width="21.25" customWidth="1"/>
    <col min="6" max="6" width="33.5" customWidth="1"/>
    <col min="7" max="7" width="9.875" customWidth="1"/>
    <col min="8" max="8" width="15.75" bestFit="1" customWidth="1"/>
    <col min="9" max="9" width="9.75" customWidth="1"/>
    <col min="10" max="17" width="9" customWidth="1"/>
    <col min="18" max="24" width="8" customWidth="1"/>
    <col min="25" max="28" width="15.125" customWidth="1"/>
  </cols>
  <sheetData>
    <row r="1" spans="1:28" ht="12.75" customHeight="1" thickBot="1" x14ac:dyDescent="0.25">
      <c r="A1" s="47"/>
      <c r="B1" s="48"/>
      <c r="C1" s="48"/>
      <c r="D1" s="48"/>
      <c r="E1" s="48"/>
      <c r="F1" s="48"/>
      <c r="G1" s="47"/>
      <c r="H1" s="47"/>
      <c r="I1" s="48"/>
      <c r="J1" s="48"/>
      <c r="K1" s="48"/>
      <c r="L1" s="48"/>
      <c r="M1" s="48"/>
      <c r="N1" s="48"/>
      <c r="O1" s="48"/>
      <c r="P1" s="48"/>
      <c r="Q1" s="48"/>
      <c r="R1" s="48"/>
      <c r="S1" s="48"/>
      <c r="T1" s="48"/>
      <c r="U1" s="48"/>
      <c r="V1" s="48"/>
      <c r="W1" s="48"/>
      <c r="X1" s="48"/>
      <c r="Y1" s="49"/>
      <c r="Z1" s="49"/>
      <c r="AA1" s="49"/>
    </row>
    <row r="2" spans="1:28" ht="12.75" customHeight="1" x14ac:dyDescent="0.2">
      <c r="A2" s="50"/>
      <c r="B2" s="51" t="s">
        <v>22</v>
      </c>
      <c r="C2" s="51" t="str">
        <f>HYPERLINK("#'Test case List'!A1","Test case List")</f>
        <v>Test case List</v>
      </c>
      <c r="D2" s="50"/>
      <c r="E2" s="50"/>
      <c r="F2" s="50"/>
      <c r="G2" s="61" t="s">
        <v>23</v>
      </c>
      <c r="H2" s="62">
        <f>COUNTIF($A$10:$A$815, "TC*")</f>
        <v>19</v>
      </c>
      <c r="I2" s="50"/>
      <c r="J2" s="50"/>
      <c r="K2" s="50"/>
      <c r="L2" s="50"/>
      <c r="M2" s="50"/>
      <c r="N2" s="50"/>
      <c r="O2" s="50"/>
      <c r="P2" s="50"/>
      <c r="Q2" s="50"/>
      <c r="R2" s="50"/>
      <c r="S2" s="50"/>
      <c r="T2" s="50"/>
      <c r="U2" s="50"/>
      <c r="V2" s="50"/>
      <c r="W2" s="50"/>
      <c r="X2" s="50"/>
      <c r="Y2" s="12"/>
      <c r="Z2" s="12"/>
      <c r="AA2" s="12"/>
      <c r="AB2" s="12"/>
    </row>
    <row r="3" spans="1:28" ht="12.75" customHeight="1" x14ac:dyDescent="0.2">
      <c r="A3" s="50"/>
      <c r="B3" s="52" t="s">
        <v>24</v>
      </c>
      <c r="C3" s="82" t="s">
        <v>165</v>
      </c>
      <c r="D3" s="50"/>
      <c r="E3" s="50"/>
      <c r="F3" s="50"/>
      <c r="G3" s="63" t="s">
        <v>25</v>
      </c>
      <c r="H3" s="64">
        <f>(COUNTIF(H10:H20,"Pass"))</f>
        <v>2</v>
      </c>
      <c r="I3" s="50"/>
      <c r="J3" s="50"/>
      <c r="K3" s="50"/>
      <c r="L3" s="50"/>
      <c r="M3" s="50"/>
      <c r="N3" s="50"/>
      <c r="O3" s="50"/>
      <c r="P3" s="50"/>
      <c r="Q3" s="50"/>
      <c r="R3" s="50"/>
      <c r="S3" s="50"/>
      <c r="T3" s="50"/>
      <c r="U3" s="50"/>
      <c r="V3" s="50"/>
      <c r="W3" s="50"/>
      <c r="X3" s="50"/>
      <c r="Y3" s="12"/>
      <c r="Z3" s="12"/>
      <c r="AA3" s="12"/>
      <c r="AB3" s="12"/>
    </row>
    <row r="4" spans="1:28" ht="12.75" customHeight="1" thickBot="1" x14ac:dyDescent="0.25">
      <c r="A4" s="50"/>
      <c r="B4" s="53" t="s">
        <v>26</v>
      </c>
      <c r="C4" s="54" t="s">
        <v>37</v>
      </c>
      <c r="D4" s="50"/>
      <c r="E4" s="50"/>
      <c r="F4" s="50"/>
      <c r="G4" s="63" t="s">
        <v>27</v>
      </c>
      <c r="H4" s="64">
        <f>(COUNTIF(H10:H20,"Fail"))</f>
        <v>0</v>
      </c>
      <c r="I4" s="50"/>
      <c r="J4" s="50"/>
      <c r="K4" s="50"/>
      <c r="L4" s="50"/>
      <c r="M4" s="50"/>
      <c r="N4" s="50"/>
      <c r="O4" s="50"/>
      <c r="P4" s="50"/>
      <c r="Q4" s="50"/>
      <c r="R4" s="50"/>
      <c r="S4" s="50"/>
      <c r="T4" s="50"/>
      <c r="U4" s="50"/>
      <c r="V4" s="50"/>
      <c r="W4" s="50"/>
      <c r="X4" s="50"/>
      <c r="Y4" s="12"/>
      <c r="Z4" s="12"/>
      <c r="AA4" s="12"/>
      <c r="AB4" s="12"/>
    </row>
    <row r="5" spans="1:28" ht="12.75" customHeight="1" thickBot="1" x14ac:dyDescent="0.25">
      <c r="A5" s="50"/>
      <c r="B5" s="55"/>
      <c r="C5" s="55"/>
      <c r="D5" s="50"/>
      <c r="E5" s="50"/>
      <c r="F5" s="50"/>
      <c r="G5" s="63" t="s">
        <v>28</v>
      </c>
      <c r="H5" s="64">
        <f>(COUNTIF(H10:H20,"Untest"))</f>
        <v>8</v>
      </c>
      <c r="I5" s="50"/>
      <c r="J5" s="50"/>
      <c r="K5" s="50"/>
      <c r="L5" s="50"/>
      <c r="M5" s="50"/>
      <c r="N5" s="50"/>
      <c r="O5" s="50"/>
      <c r="P5" s="50"/>
      <c r="Q5" s="50"/>
      <c r="R5" s="50"/>
      <c r="S5" s="50"/>
      <c r="T5" s="50"/>
      <c r="U5" s="50"/>
      <c r="V5" s="50"/>
      <c r="W5" s="50"/>
      <c r="X5" s="50"/>
      <c r="Y5" s="12"/>
      <c r="Z5" s="12"/>
      <c r="AA5" s="12"/>
      <c r="AB5" s="12"/>
    </row>
    <row r="6" spans="1:28" ht="12.75" customHeight="1" thickBot="1" x14ac:dyDescent="0.25">
      <c r="A6" s="55"/>
      <c r="B6" s="56" t="s">
        <v>29</v>
      </c>
      <c r="C6" s="57" t="str">
        <f>ROUND((H3 / (H2-H6))*100,2)&amp;"%"</f>
        <v>10.53%</v>
      </c>
      <c r="D6" s="50"/>
      <c r="E6" s="50"/>
      <c r="F6" s="50"/>
      <c r="G6" s="84" t="s">
        <v>30</v>
      </c>
      <c r="H6" s="85">
        <f>(COUNTIF(H10:H20,"N/A"))</f>
        <v>0</v>
      </c>
      <c r="I6" s="50"/>
      <c r="J6" s="50"/>
      <c r="K6" s="50"/>
      <c r="L6" s="50"/>
      <c r="M6" s="50"/>
      <c r="N6" s="50"/>
      <c r="O6" s="50"/>
      <c r="P6" s="50"/>
      <c r="Q6" s="50"/>
      <c r="R6" s="50"/>
      <c r="S6" s="50"/>
      <c r="T6" s="50"/>
      <c r="U6" s="50"/>
      <c r="V6" s="50"/>
      <c r="W6" s="50"/>
      <c r="X6" s="50"/>
      <c r="Y6" s="12"/>
      <c r="Z6" s="12"/>
      <c r="AA6" s="12"/>
      <c r="AB6" s="12"/>
    </row>
    <row r="7" spans="1:28" ht="12.75" customHeight="1" x14ac:dyDescent="0.2">
      <c r="A7" s="58"/>
      <c r="B7" s="58"/>
      <c r="C7" s="58"/>
      <c r="D7" s="59"/>
      <c r="E7" s="59"/>
      <c r="F7" s="60"/>
      <c r="G7" s="60"/>
      <c r="H7" s="60"/>
      <c r="I7" s="58"/>
      <c r="J7" s="58"/>
      <c r="K7" s="58"/>
      <c r="L7" s="58"/>
      <c r="M7" s="58"/>
      <c r="N7" s="58"/>
      <c r="O7" s="58"/>
      <c r="P7" s="58"/>
      <c r="Q7" s="58"/>
      <c r="R7" s="58"/>
      <c r="S7" s="58"/>
      <c r="T7" s="58"/>
      <c r="U7" s="58"/>
      <c r="V7" s="58"/>
      <c r="W7" s="58"/>
      <c r="X7" s="58"/>
      <c r="Y7" s="49"/>
      <c r="Z7" s="49"/>
      <c r="AA7" s="49"/>
      <c r="AB7" s="49"/>
    </row>
    <row r="8" spans="1:28" ht="24.95" customHeight="1" x14ac:dyDescent="0.2">
      <c r="A8" s="126" t="s">
        <v>31</v>
      </c>
      <c r="B8" s="126" t="s">
        <v>32</v>
      </c>
      <c r="C8" s="126" t="s">
        <v>21</v>
      </c>
      <c r="D8" s="126" t="s">
        <v>14</v>
      </c>
      <c r="E8" s="126" t="s">
        <v>33</v>
      </c>
      <c r="F8" s="126" t="s">
        <v>34</v>
      </c>
      <c r="G8" s="126" t="s">
        <v>35</v>
      </c>
      <c r="H8" s="126" t="s">
        <v>64</v>
      </c>
      <c r="I8" s="126" t="s">
        <v>36</v>
      </c>
      <c r="J8" s="58"/>
      <c r="K8" s="58"/>
      <c r="L8" s="58"/>
      <c r="M8" s="58"/>
      <c r="N8" s="58"/>
      <c r="O8" s="58"/>
      <c r="P8" s="58"/>
      <c r="Q8" s="58"/>
      <c r="R8" s="58"/>
      <c r="S8" s="58"/>
      <c r="T8" s="58"/>
      <c r="U8" s="58"/>
      <c r="V8" s="58"/>
      <c r="W8" s="58"/>
      <c r="X8" s="58"/>
      <c r="Y8" s="58"/>
      <c r="Z8" s="58"/>
      <c r="AA8" s="49"/>
      <c r="AB8" s="49"/>
    </row>
    <row r="9" spans="1:28" ht="24.95" customHeight="1" x14ac:dyDescent="0.2">
      <c r="A9" s="181" t="s">
        <v>85</v>
      </c>
      <c r="B9" s="182"/>
      <c r="C9" s="182"/>
      <c r="D9" s="182"/>
      <c r="E9" s="182"/>
      <c r="F9" s="183"/>
      <c r="G9" s="145"/>
      <c r="H9" s="145"/>
      <c r="I9" s="145"/>
      <c r="J9" s="86"/>
      <c r="K9" s="86"/>
      <c r="L9" s="86"/>
      <c r="M9" s="86"/>
      <c r="N9" s="86"/>
      <c r="O9" s="86"/>
      <c r="P9" s="86"/>
      <c r="Q9" s="86"/>
      <c r="R9" s="86"/>
      <c r="S9" s="86"/>
      <c r="T9" s="86"/>
      <c r="U9" s="86"/>
      <c r="V9" s="86"/>
      <c r="W9" s="86"/>
      <c r="X9" s="86"/>
      <c r="Y9" s="86"/>
      <c r="Z9" s="86"/>
      <c r="AA9" s="49"/>
      <c r="AB9" s="49"/>
    </row>
    <row r="10" spans="1:28" s="148" customFormat="1" ht="71.25" x14ac:dyDescent="0.2">
      <c r="A10" s="129" t="s">
        <v>1221</v>
      </c>
      <c r="B10" s="129" t="s">
        <v>1304</v>
      </c>
      <c r="C10" s="129" t="s">
        <v>1280</v>
      </c>
      <c r="D10" s="129" t="s">
        <v>1222</v>
      </c>
      <c r="E10" s="129"/>
      <c r="F10" s="129" t="s">
        <v>1223</v>
      </c>
      <c r="G10" s="129"/>
      <c r="H10" s="129" t="s">
        <v>28</v>
      </c>
      <c r="I10" s="150"/>
      <c r="J10" s="32"/>
      <c r="K10" s="32"/>
      <c r="L10" s="32"/>
      <c r="M10" s="32"/>
      <c r="N10" s="32"/>
      <c r="O10" s="32"/>
      <c r="P10" s="32"/>
      <c r="Q10" s="32"/>
      <c r="R10" s="32"/>
      <c r="S10" s="32"/>
      <c r="T10" s="32"/>
      <c r="U10" s="32"/>
      <c r="V10" s="32"/>
      <c r="W10" s="32"/>
      <c r="X10" s="32"/>
      <c r="Y10" s="147"/>
      <c r="Z10" s="147"/>
      <c r="AA10" s="147"/>
      <c r="AB10" s="147"/>
    </row>
    <row r="11" spans="1:28" s="148" customFormat="1" ht="71.25" x14ac:dyDescent="0.2">
      <c r="A11" s="129" t="s">
        <v>1224</v>
      </c>
      <c r="B11" s="129" t="s">
        <v>1225</v>
      </c>
      <c r="C11" s="129" t="s">
        <v>1281</v>
      </c>
      <c r="D11" s="129" t="s">
        <v>1167</v>
      </c>
      <c r="E11" s="129"/>
      <c r="F11" s="129" t="s">
        <v>1226</v>
      </c>
      <c r="G11" s="129"/>
      <c r="H11" s="129" t="s">
        <v>28</v>
      </c>
      <c r="I11" s="150"/>
      <c r="J11" s="32"/>
      <c r="K11" s="32"/>
      <c r="L11" s="32"/>
      <c r="M11" s="32"/>
      <c r="N11" s="32"/>
      <c r="O11" s="32"/>
      <c r="P11" s="32"/>
      <c r="Q11" s="32"/>
      <c r="R11" s="32"/>
      <c r="S11" s="32"/>
      <c r="T11" s="32"/>
      <c r="U11" s="32"/>
      <c r="V11" s="32"/>
      <c r="W11" s="32"/>
      <c r="X11" s="32"/>
      <c r="Y11" s="147"/>
      <c r="Z11" s="147"/>
      <c r="AA11" s="147"/>
      <c r="AB11" s="147"/>
    </row>
    <row r="12" spans="1:28" s="148" customFormat="1" ht="28.5" x14ac:dyDescent="0.2">
      <c r="A12" s="129" t="s">
        <v>1227</v>
      </c>
      <c r="B12" s="129" t="s">
        <v>1228</v>
      </c>
      <c r="C12" s="129" t="s">
        <v>1282</v>
      </c>
      <c r="D12" s="129" t="s">
        <v>1229</v>
      </c>
      <c r="E12" s="129"/>
      <c r="F12" s="129" t="s">
        <v>1230</v>
      </c>
      <c r="G12" s="129"/>
      <c r="H12" s="129" t="s">
        <v>28</v>
      </c>
      <c r="I12" s="150"/>
      <c r="J12" s="149"/>
      <c r="K12" s="149"/>
      <c r="L12" s="149"/>
      <c r="M12" s="149"/>
      <c r="N12" s="149"/>
      <c r="O12" s="149"/>
      <c r="P12" s="149"/>
      <c r="Q12" s="149"/>
      <c r="R12" s="149"/>
      <c r="S12" s="149"/>
      <c r="T12" s="149"/>
      <c r="U12" s="149"/>
      <c r="V12" s="149"/>
      <c r="W12" s="149"/>
      <c r="X12" s="149"/>
      <c r="Y12" s="147"/>
      <c r="Z12" s="147"/>
      <c r="AA12" s="147"/>
      <c r="AB12" s="147"/>
    </row>
    <row r="13" spans="1:28" s="148" customFormat="1" ht="28.5" x14ac:dyDescent="0.2">
      <c r="A13" s="129" t="s">
        <v>1231</v>
      </c>
      <c r="B13" s="129" t="s">
        <v>1232</v>
      </c>
      <c r="C13" s="129" t="s">
        <v>1282</v>
      </c>
      <c r="D13" s="129" t="s">
        <v>1229</v>
      </c>
      <c r="E13" s="129"/>
      <c r="F13" s="129" t="s">
        <v>1233</v>
      </c>
      <c r="G13" s="129"/>
      <c r="H13" s="129" t="s">
        <v>28</v>
      </c>
      <c r="I13" s="150"/>
      <c r="J13" s="32"/>
      <c r="K13" s="32"/>
      <c r="L13" s="32"/>
      <c r="M13" s="32"/>
      <c r="N13" s="32"/>
      <c r="O13" s="32"/>
      <c r="P13" s="32"/>
      <c r="Q13" s="32"/>
      <c r="R13" s="32"/>
      <c r="S13" s="32"/>
      <c r="T13" s="32"/>
      <c r="U13" s="32"/>
      <c r="V13" s="32"/>
      <c r="W13" s="32"/>
      <c r="X13" s="32"/>
      <c r="Y13" s="147"/>
      <c r="Z13" s="147"/>
      <c r="AA13" s="147"/>
      <c r="AB13" s="147"/>
    </row>
    <row r="14" spans="1:28" s="148" customFormat="1" ht="28.5" x14ac:dyDescent="0.2">
      <c r="A14" s="129" t="s">
        <v>1234</v>
      </c>
      <c r="B14" s="129" t="s">
        <v>1235</v>
      </c>
      <c r="C14" s="129" t="s">
        <v>1282</v>
      </c>
      <c r="D14" s="129" t="s">
        <v>1229</v>
      </c>
      <c r="E14" s="129"/>
      <c r="F14" s="129" t="s">
        <v>1236</v>
      </c>
      <c r="G14" s="129"/>
      <c r="H14" s="129" t="s">
        <v>28</v>
      </c>
      <c r="I14" s="150"/>
      <c r="J14" s="32"/>
      <c r="K14" s="32"/>
      <c r="L14" s="32"/>
      <c r="M14" s="32"/>
      <c r="N14" s="32"/>
      <c r="O14" s="32"/>
      <c r="P14" s="32"/>
      <c r="Q14" s="32"/>
      <c r="R14" s="32"/>
      <c r="S14" s="32"/>
      <c r="T14" s="32"/>
      <c r="U14" s="32"/>
      <c r="V14" s="32"/>
      <c r="W14" s="32"/>
      <c r="X14" s="32"/>
      <c r="Y14" s="147"/>
      <c r="Z14" s="147"/>
      <c r="AA14" s="147"/>
      <c r="AB14" s="147"/>
    </row>
    <row r="15" spans="1:28" s="148" customFormat="1" ht="71.25" x14ac:dyDescent="0.2">
      <c r="A15" s="129" t="s">
        <v>1237</v>
      </c>
      <c r="B15" s="129" t="s">
        <v>1238</v>
      </c>
      <c r="C15" s="129" t="s">
        <v>1283</v>
      </c>
      <c r="D15" s="129" t="s">
        <v>1168</v>
      </c>
      <c r="E15" s="129"/>
      <c r="F15" s="129" t="s">
        <v>1239</v>
      </c>
      <c r="G15" s="129"/>
      <c r="H15" s="129" t="s">
        <v>28</v>
      </c>
      <c r="I15" s="150"/>
      <c r="J15" s="32"/>
      <c r="K15" s="32"/>
      <c r="L15" s="32"/>
      <c r="M15" s="32"/>
      <c r="N15" s="32"/>
      <c r="O15" s="32"/>
      <c r="P15" s="32"/>
      <c r="Q15" s="32"/>
      <c r="R15" s="32"/>
      <c r="S15" s="32"/>
      <c r="T15" s="32"/>
      <c r="U15" s="32"/>
      <c r="V15" s="32"/>
      <c r="W15" s="32"/>
      <c r="X15" s="32"/>
      <c r="Y15" s="147"/>
      <c r="Z15" s="147"/>
      <c r="AA15" s="147"/>
      <c r="AB15" s="147"/>
    </row>
    <row r="16" spans="1:28" s="148" customFormat="1" ht="85.5" x14ac:dyDescent="0.2">
      <c r="A16" s="129" t="s">
        <v>1240</v>
      </c>
      <c r="B16" s="129" t="s">
        <v>1241</v>
      </c>
      <c r="C16" s="129" t="s">
        <v>1284</v>
      </c>
      <c r="D16" s="129" t="s">
        <v>1285</v>
      </c>
      <c r="E16" s="129"/>
      <c r="F16" s="129" t="s">
        <v>1242</v>
      </c>
      <c r="G16" s="129"/>
      <c r="H16" s="129" t="s">
        <v>28</v>
      </c>
      <c r="I16" s="150"/>
      <c r="J16" s="32"/>
      <c r="K16" s="32"/>
      <c r="L16" s="32"/>
      <c r="M16" s="32"/>
      <c r="N16" s="32"/>
      <c r="O16" s="32"/>
      <c r="P16" s="32"/>
      <c r="Q16" s="32"/>
      <c r="R16" s="32"/>
      <c r="S16" s="32"/>
      <c r="T16" s="32"/>
      <c r="U16" s="32"/>
      <c r="V16" s="32"/>
      <c r="W16" s="32"/>
      <c r="X16" s="32"/>
      <c r="Y16" s="147"/>
      <c r="Z16" s="147"/>
      <c r="AA16" s="147"/>
      <c r="AB16" s="147"/>
    </row>
    <row r="17" spans="1:28" ht="42.75" x14ac:dyDescent="0.2">
      <c r="A17" s="129" t="s">
        <v>1243</v>
      </c>
      <c r="B17" s="129" t="s">
        <v>1244</v>
      </c>
      <c r="C17" s="129" t="s">
        <v>1286</v>
      </c>
      <c r="D17" s="129" t="s">
        <v>1287</v>
      </c>
      <c r="E17" s="129"/>
      <c r="F17" s="129" t="s">
        <v>1245</v>
      </c>
      <c r="G17" s="129"/>
      <c r="H17" s="129" t="s">
        <v>28</v>
      </c>
      <c r="I17" s="150"/>
      <c r="J17" s="8"/>
      <c r="K17" s="8"/>
      <c r="L17" s="8"/>
      <c r="M17" s="8"/>
      <c r="N17" s="8"/>
      <c r="O17" s="8"/>
      <c r="P17" s="8"/>
      <c r="Q17" s="8"/>
      <c r="R17" s="8"/>
      <c r="S17" s="8"/>
      <c r="T17" s="8"/>
      <c r="U17" s="8"/>
      <c r="V17" s="8"/>
      <c r="W17" s="8"/>
      <c r="X17" s="8"/>
      <c r="Y17" s="49"/>
      <c r="Z17" s="49"/>
      <c r="AA17" s="49"/>
      <c r="AB17" s="49"/>
    </row>
    <row r="18" spans="1:28" ht="57" x14ac:dyDescent="0.2">
      <c r="A18" s="129" t="s">
        <v>1246</v>
      </c>
      <c r="B18" s="129" t="s">
        <v>446</v>
      </c>
      <c r="C18" s="129" t="s">
        <v>447</v>
      </c>
      <c r="D18" s="129" t="s">
        <v>1247</v>
      </c>
      <c r="E18" s="129" t="s">
        <v>1248</v>
      </c>
      <c r="F18" s="129" t="s">
        <v>1111</v>
      </c>
      <c r="G18" s="129"/>
      <c r="H18" s="129" t="s">
        <v>25</v>
      </c>
      <c r="I18" s="150"/>
      <c r="J18" s="8"/>
      <c r="K18" s="8"/>
      <c r="L18" s="8"/>
      <c r="M18" s="8"/>
      <c r="N18" s="8"/>
      <c r="O18" s="8"/>
      <c r="P18" s="8"/>
      <c r="Q18" s="8"/>
      <c r="R18" s="8"/>
      <c r="S18" s="8"/>
      <c r="T18" s="8"/>
      <c r="U18" s="8"/>
      <c r="V18" s="8"/>
      <c r="W18" s="8"/>
      <c r="X18" s="8"/>
      <c r="Y18" s="49"/>
      <c r="Z18" s="49"/>
      <c r="AA18" s="49"/>
      <c r="AB18" s="49"/>
    </row>
    <row r="19" spans="1:28" x14ac:dyDescent="0.2">
      <c r="A19" s="181" t="s">
        <v>86</v>
      </c>
      <c r="B19" s="182"/>
      <c r="C19" s="182"/>
      <c r="D19" s="182"/>
      <c r="E19" s="182"/>
      <c r="F19" s="183"/>
      <c r="G19" s="151"/>
      <c r="H19" s="151"/>
      <c r="I19" s="152"/>
      <c r="J19" s="8"/>
      <c r="K19" s="8"/>
      <c r="L19" s="8"/>
      <c r="M19" s="8"/>
      <c r="N19" s="8"/>
      <c r="O19" s="8"/>
      <c r="P19" s="8"/>
      <c r="Q19" s="8"/>
      <c r="R19" s="8"/>
      <c r="S19" s="8"/>
      <c r="T19" s="8"/>
      <c r="U19" s="8"/>
      <c r="V19" s="8"/>
      <c r="W19" s="8"/>
      <c r="X19" s="8"/>
      <c r="Y19" s="49"/>
      <c r="Z19" s="49"/>
      <c r="AA19" s="49"/>
      <c r="AB19" s="49"/>
    </row>
    <row r="20" spans="1:28" ht="42.75" x14ac:dyDescent="0.2">
      <c r="A20" s="129" t="s">
        <v>1249</v>
      </c>
      <c r="B20" s="129" t="s">
        <v>1250</v>
      </c>
      <c r="C20" s="129" t="s">
        <v>1289</v>
      </c>
      <c r="D20" s="129" t="s">
        <v>1173</v>
      </c>
      <c r="E20" s="129"/>
      <c r="F20" s="129" t="s">
        <v>1251</v>
      </c>
      <c r="G20" s="129"/>
      <c r="H20" s="129" t="s">
        <v>25</v>
      </c>
      <c r="I20" s="150"/>
      <c r="J20" s="8"/>
      <c r="K20" s="8"/>
      <c r="L20" s="8"/>
      <c r="M20" s="8"/>
      <c r="N20" s="8"/>
      <c r="O20" s="8"/>
      <c r="P20" s="8"/>
      <c r="Q20" s="8"/>
      <c r="R20" s="8"/>
      <c r="S20" s="8"/>
      <c r="T20" s="8"/>
      <c r="U20" s="8"/>
      <c r="V20" s="8"/>
      <c r="W20" s="8"/>
      <c r="X20" s="8"/>
      <c r="Y20" s="49"/>
      <c r="Z20" s="49"/>
      <c r="AA20" s="49"/>
      <c r="AB20" s="49"/>
    </row>
    <row r="21" spans="1:28" ht="28.5" x14ac:dyDescent="0.2">
      <c r="A21" s="129" t="s">
        <v>1252</v>
      </c>
      <c r="B21" s="129" t="s">
        <v>1253</v>
      </c>
      <c r="C21" s="129" t="s">
        <v>1289</v>
      </c>
      <c r="D21" s="129" t="s">
        <v>1254</v>
      </c>
      <c r="E21" s="129"/>
      <c r="F21" s="129" t="s">
        <v>1255</v>
      </c>
      <c r="G21" s="129"/>
      <c r="H21" s="129" t="s">
        <v>25</v>
      </c>
      <c r="I21" s="150"/>
      <c r="J21" s="8"/>
      <c r="K21" s="8"/>
      <c r="L21" s="8"/>
      <c r="M21" s="8"/>
      <c r="N21" s="8"/>
      <c r="O21" s="8"/>
      <c r="P21" s="8"/>
      <c r="Q21" s="8"/>
      <c r="R21" s="8"/>
      <c r="S21" s="8"/>
      <c r="T21" s="8"/>
      <c r="U21" s="8"/>
      <c r="V21" s="8"/>
      <c r="W21" s="8"/>
      <c r="X21" s="8"/>
      <c r="Y21" s="49"/>
      <c r="Z21" s="49"/>
      <c r="AA21" s="49"/>
      <c r="AB21" s="49"/>
    </row>
    <row r="22" spans="1:28" ht="28.5" x14ac:dyDescent="0.2">
      <c r="A22" s="129" t="s">
        <v>1256</v>
      </c>
      <c r="B22" s="129" t="s">
        <v>1257</v>
      </c>
      <c r="C22" s="129" t="s">
        <v>1289</v>
      </c>
      <c r="D22" s="129" t="s">
        <v>1258</v>
      </c>
      <c r="E22" s="129"/>
      <c r="F22" s="129" t="s">
        <v>1259</v>
      </c>
      <c r="G22" s="129"/>
      <c r="H22" s="129" t="s">
        <v>25</v>
      </c>
      <c r="I22" s="150"/>
      <c r="J22" s="8"/>
      <c r="K22" s="8"/>
      <c r="L22" s="8"/>
      <c r="M22" s="8"/>
      <c r="N22" s="8"/>
      <c r="O22" s="8"/>
      <c r="P22" s="8"/>
      <c r="Q22" s="8"/>
      <c r="R22" s="8"/>
      <c r="S22" s="8"/>
      <c r="T22" s="8"/>
      <c r="U22" s="8"/>
      <c r="V22" s="8"/>
      <c r="W22" s="8"/>
      <c r="X22" s="8"/>
      <c r="Y22" s="49"/>
      <c r="Z22" s="49"/>
      <c r="AA22" s="49"/>
      <c r="AB22" s="49"/>
    </row>
    <row r="23" spans="1:28" ht="28.5" x14ac:dyDescent="0.2">
      <c r="A23" s="129" t="s">
        <v>1260</v>
      </c>
      <c r="B23" s="129" t="s">
        <v>1261</v>
      </c>
      <c r="C23" s="129" t="s">
        <v>1289</v>
      </c>
      <c r="D23" s="129" t="s">
        <v>1262</v>
      </c>
      <c r="E23" s="129"/>
      <c r="F23" s="129" t="s">
        <v>1263</v>
      </c>
      <c r="G23" s="129"/>
      <c r="H23" s="129" t="s">
        <v>25</v>
      </c>
      <c r="I23" s="150"/>
      <c r="J23" s="8"/>
      <c r="K23" s="8"/>
      <c r="L23" s="8"/>
      <c r="M23" s="8"/>
      <c r="N23" s="8"/>
      <c r="O23" s="8"/>
      <c r="P23" s="8"/>
      <c r="Q23" s="8"/>
      <c r="R23" s="8"/>
      <c r="S23" s="8"/>
      <c r="T23" s="8"/>
      <c r="U23" s="8"/>
      <c r="V23" s="8"/>
      <c r="W23" s="8"/>
      <c r="X23" s="8"/>
      <c r="Y23" s="49"/>
      <c r="Z23" s="49"/>
      <c r="AA23" s="49"/>
      <c r="AB23" s="49"/>
    </row>
    <row r="24" spans="1:28" ht="28.5" x14ac:dyDescent="0.2">
      <c r="A24" s="129" t="s">
        <v>1264</v>
      </c>
      <c r="B24" s="129" t="s">
        <v>1265</v>
      </c>
      <c r="C24" s="129" t="s">
        <v>1289</v>
      </c>
      <c r="D24" s="129" t="s">
        <v>1229</v>
      </c>
      <c r="E24" s="129"/>
      <c r="F24" s="129" t="s">
        <v>1266</v>
      </c>
      <c r="G24" s="129"/>
      <c r="H24" s="129" t="s">
        <v>25</v>
      </c>
      <c r="I24" s="150"/>
      <c r="J24" s="8"/>
      <c r="K24" s="8"/>
      <c r="L24" s="8"/>
      <c r="M24" s="8"/>
      <c r="N24" s="8"/>
      <c r="O24" s="8"/>
      <c r="P24" s="8"/>
      <c r="Q24" s="8"/>
      <c r="R24" s="8"/>
      <c r="S24" s="8"/>
      <c r="T24" s="8"/>
      <c r="U24" s="8"/>
      <c r="V24" s="8"/>
      <c r="W24" s="8"/>
      <c r="X24" s="8"/>
      <c r="Y24" s="49"/>
      <c r="Z24" s="49"/>
      <c r="AA24" s="49"/>
      <c r="AB24" s="49"/>
    </row>
    <row r="25" spans="1:28" ht="42.75" x14ac:dyDescent="0.2">
      <c r="A25" s="129" t="s">
        <v>1267</v>
      </c>
      <c r="B25" s="129" t="s">
        <v>1268</v>
      </c>
      <c r="C25" s="129" t="s">
        <v>1288</v>
      </c>
      <c r="D25" s="129" t="s">
        <v>1175</v>
      </c>
      <c r="E25" s="129"/>
      <c r="F25" s="129" t="s">
        <v>1291</v>
      </c>
      <c r="G25" s="129"/>
      <c r="H25" s="129" t="s">
        <v>25</v>
      </c>
      <c r="I25" s="150"/>
      <c r="J25" s="8"/>
      <c r="K25" s="8"/>
      <c r="L25" s="8"/>
      <c r="M25" s="8"/>
      <c r="N25" s="8"/>
      <c r="O25" s="8"/>
      <c r="P25" s="8"/>
      <c r="Q25" s="8"/>
      <c r="R25" s="8"/>
      <c r="S25" s="8"/>
      <c r="T25" s="8"/>
      <c r="U25" s="8"/>
      <c r="V25" s="8"/>
      <c r="W25" s="8"/>
      <c r="X25" s="8"/>
      <c r="Y25" s="49"/>
      <c r="Z25" s="49"/>
      <c r="AA25" s="49"/>
      <c r="AB25" s="49"/>
    </row>
    <row r="26" spans="1:28" ht="28.5" x14ac:dyDescent="0.2">
      <c r="A26" s="129" t="s">
        <v>1269</v>
      </c>
      <c r="B26" s="129" t="s">
        <v>1270</v>
      </c>
      <c r="C26" s="129" t="s">
        <v>1290</v>
      </c>
      <c r="D26" s="129" t="s">
        <v>1271</v>
      </c>
      <c r="E26" s="129"/>
      <c r="F26" s="129" t="s">
        <v>1272</v>
      </c>
      <c r="G26" s="129"/>
      <c r="H26" s="129" t="s">
        <v>25</v>
      </c>
      <c r="I26" s="150"/>
      <c r="J26" s="8"/>
      <c r="K26" s="8"/>
      <c r="L26" s="8"/>
      <c r="M26" s="8"/>
      <c r="N26" s="8"/>
      <c r="O26" s="8"/>
      <c r="P26" s="8"/>
      <c r="Q26" s="8"/>
      <c r="R26" s="8"/>
      <c r="S26" s="8"/>
      <c r="T26" s="8"/>
      <c r="U26" s="8"/>
      <c r="V26" s="8"/>
      <c r="W26" s="8"/>
      <c r="X26" s="8"/>
      <c r="Y26" s="49"/>
      <c r="Z26" s="49"/>
      <c r="AA26" s="49"/>
      <c r="AB26" s="49"/>
    </row>
    <row r="27" spans="1:28" ht="28.5" x14ac:dyDescent="0.2">
      <c r="A27" s="129" t="s">
        <v>1273</v>
      </c>
      <c r="B27" s="129" t="s">
        <v>1275</v>
      </c>
      <c r="C27" s="129" t="s">
        <v>1289</v>
      </c>
      <c r="D27" s="129" t="s">
        <v>1292</v>
      </c>
      <c r="E27" s="129"/>
      <c r="F27" s="129" t="s">
        <v>1276</v>
      </c>
      <c r="G27" s="129"/>
      <c r="H27" s="129" t="s">
        <v>25</v>
      </c>
      <c r="I27" s="150"/>
      <c r="J27" s="8"/>
      <c r="K27" s="8"/>
      <c r="L27" s="8"/>
      <c r="M27" s="8"/>
      <c r="N27" s="8"/>
      <c r="O27" s="8"/>
      <c r="P27" s="8"/>
      <c r="Q27" s="8"/>
      <c r="R27" s="8"/>
      <c r="S27" s="8"/>
      <c r="T27" s="8"/>
      <c r="U27" s="8"/>
      <c r="V27" s="8"/>
      <c r="W27" s="8"/>
      <c r="X27" s="8"/>
      <c r="Y27" s="49"/>
      <c r="Z27" s="49"/>
      <c r="AA27" s="49"/>
      <c r="AB27" s="49"/>
    </row>
    <row r="28" spans="1:28" x14ac:dyDescent="0.2">
      <c r="A28" s="181" t="s">
        <v>160</v>
      </c>
      <c r="B28" s="182"/>
      <c r="C28" s="182"/>
      <c r="D28" s="182"/>
      <c r="E28" s="182"/>
      <c r="F28" s="183"/>
      <c r="G28" s="151"/>
      <c r="H28" s="151"/>
      <c r="I28" s="152"/>
      <c r="J28" s="8"/>
      <c r="K28" s="8"/>
      <c r="L28" s="8"/>
      <c r="M28" s="8"/>
      <c r="N28" s="8"/>
      <c r="O28" s="8"/>
      <c r="P28" s="8"/>
      <c r="Q28" s="8"/>
      <c r="R28" s="8"/>
      <c r="S28" s="8"/>
      <c r="T28" s="8"/>
      <c r="U28" s="8"/>
      <c r="V28" s="8"/>
      <c r="W28" s="8"/>
      <c r="X28" s="8"/>
      <c r="Y28" s="49"/>
      <c r="Z28" s="49"/>
      <c r="AA28" s="49"/>
      <c r="AB28" s="49"/>
    </row>
    <row r="29" spans="1:28" ht="57" x14ac:dyDescent="0.2">
      <c r="A29" s="129" t="s">
        <v>1274</v>
      </c>
      <c r="B29" s="129" t="s">
        <v>1278</v>
      </c>
      <c r="C29" s="129" t="s">
        <v>1293</v>
      </c>
      <c r="D29" s="129" t="s">
        <v>1294</v>
      </c>
      <c r="E29" s="129"/>
      <c r="F29" s="129" t="s">
        <v>1215</v>
      </c>
      <c r="G29" s="129"/>
      <c r="H29" s="129" t="s">
        <v>28</v>
      </c>
      <c r="I29" s="150"/>
      <c r="J29" s="8"/>
      <c r="K29" s="8"/>
      <c r="L29" s="8"/>
      <c r="M29" s="8"/>
      <c r="N29" s="8"/>
      <c r="O29" s="8"/>
      <c r="P29" s="8"/>
      <c r="Q29" s="8"/>
      <c r="R29" s="8"/>
      <c r="S29" s="8"/>
      <c r="T29" s="8"/>
      <c r="U29" s="8"/>
      <c r="V29" s="8"/>
      <c r="W29" s="8"/>
      <c r="X29" s="8"/>
      <c r="Y29" s="49"/>
      <c r="Z29" s="49"/>
      <c r="AA29" s="49"/>
      <c r="AB29" s="49"/>
    </row>
    <row r="30" spans="1:28" ht="69.75" customHeight="1" x14ac:dyDescent="0.2">
      <c r="A30" s="129" t="s">
        <v>1277</v>
      </c>
      <c r="B30" s="129" t="s">
        <v>1279</v>
      </c>
      <c r="C30" s="129" t="s">
        <v>1295</v>
      </c>
      <c r="D30" s="129" t="s">
        <v>1296</v>
      </c>
      <c r="E30" s="129"/>
      <c r="F30" s="129" t="s">
        <v>1297</v>
      </c>
      <c r="G30" s="129"/>
      <c r="H30" s="129" t="s">
        <v>28</v>
      </c>
      <c r="I30" s="150"/>
      <c r="J30" s="8"/>
      <c r="K30" s="8"/>
      <c r="L30" s="8"/>
      <c r="M30" s="8"/>
      <c r="N30" s="8"/>
      <c r="O30" s="8"/>
      <c r="P30" s="8"/>
      <c r="Q30" s="8"/>
      <c r="R30" s="8"/>
      <c r="S30" s="8"/>
      <c r="T30" s="8"/>
      <c r="U30" s="8"/>
      <c r="V30" s="8"/>
      <c r="W30" s="8"/>
      <c r="X30" s="8"/>
      <c r="Y30" s="49"/>
      <c r="Z30" s="49"/>
      <c r="AA30" s="49"/>
      <c r="AB30" s="49"/>
    </row>
    <row r="31" spans="1:28"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49"/>
      <c r="Z31" s="49"/>
      <c r="AA31" s="49"/>
      <c r="AB31" s="49"/>
    </row>
    <row r="32" spans="1:28"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49"/>
      <c r="Z32" s="49"/>
      <c r="AA32" s="49"/>
      <c r="AB32" s="49"/>
    </row>
    <row r="33" spans="1:28"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49"/>
      <c r="Z33" s="49"/>
      <c r="AA33" s="49"/>
      <c r="AB33" s="49"/>
    </row>
    <row r="34" spans="1:28"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49"/>
      <c r="Z34" s="49"/>
      <c r="AA34" s="49"/>
      <c r="AB34" s="49"/>
    </row>
    <row r="35" spans="1:28"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49"/>
      <c r="Z35" s="49"/>
      <c r="AA35" s="49"/>
      <c r="AB35" s="49"/>
    </row>
    <row r="36" spans="1:28"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49"/>
      <c r="Z36" s="49"/>
      <c r="AA36" s="49"/>
      <c r="AB36" s="49"/>
    </row>
    <row r="37" spans="1:28"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49"/>
      <c r="Z37" s="49"/>
      <c r="AA37" s="49"/>
      <c r="AB37" s="49"/>
    </row>
    <row r="38" spans="1:28"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49"/>
      <c r="Z38" s="49"/>
      <c r="AA38" s="49"/>
      <c r="AB38" s="49"/>
    </row>
    <row r="39" spans="1:28"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49"/>
      <c r="Z39" s="49"/>
      <c r="AA39" s="49"/>
      <c r="AB39" s="49"/>
    </row>
    <row r="40" spans="1:28"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49"/>
      <c r="Z40" s="49"/>
      <c r="AA40" s="49"/>
      <c r="AB40" s="49"/>
    </row>
    <row r="41" spans="1:28"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49"/>
      <c r="Z41" s="49"/>
      <c r="AA41" s="49"/>
      <c r="AB41" s="49"/>
    </row>
    <row r="42" spans="1:28"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49"/>
      <c r="Z42" s="49"/>
      <c r="AA42" s="49"/>
      <c r="AB42" s="49"/>
    </row>
    <row r="43" spans="1:28"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49"/>
      <c r="Z43" s="49"/>
      <c r="AA43" s="49"/>
      <c r="AB43" s="49"/>
    </row>
    <row r="44" spans="1:28"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49"/>
      <c r="Z44" s="49"/>
      <c r="AA44" s="49"/>
      <c r="AB44" s="49"/>
    </row>
    <row r="45" spans="1:28"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49"/>
      <c r="Z45" s="49"/>
      <c r="AA45" s="49"/>
      <c r="AB45" s="49"/>
    </row>
    <row r="46" spans="1:28"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49"/>
      <c r="Z46" s="49"/>
      <c r="AA46" s="49"/>
      <c r="AB46" s="49"/>
    </row>
    <row r="47" spans="1:28"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49"/>
      <c r="Z47" s="49"/>
      <c r="AA47" s="49"/>
      <c r="AB47" s="49"/>
    </row>
    <row r="48" spans="1:28"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49"/>
      <c r="Z48" s="49"/>
      <c r="AA48" s="49"/>
      <c r="AB48" s="49"/>
    </row>
    <row r="49" spans="1:28"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49"/>
      <c r="Z49" s="49"/>
      <c r="AA49" s="49"/>
      <c r="AB49" s="49"/>
    </row>
    <row r="50" spans="1:28"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49"/>
      <c r="Z50" s="49"/>
      <c r="AA50" s="49"/>
      <c r="AB50" s="49"/>
    </row>
    <row r="51" spans="1:28"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49"/>
      <c r="Z51" s="49"/>
      <c r="AA51" s="49"/>
      <c r="AB51" s="49"/>
    </row>
    <row r="52" spans="1:28"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49"/>
      <c r="Z52" s="49"/>
      <c r="AA52" s="49"/>
      <c r="AB52" s="49"/>
    </row>
    <row r="53" spans="1:28"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49"/>
      <c r="Z53" s="49"/>
      <c r="AA53" s="49"/>
      <c r="AB53" s="49"/>
    </row>
    <row r="54" spans="1:28"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49"/>
      <c r="Z54" s="49"/>
      <c r="AA54" s="49"/>
      <c r="AB54" s="49"/>
    </row>
    <row r="55" spans="1:28"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49"/>
      <c r="Z55" s="49"/>
      <c r="AA55" s="49"/>
      <c r="AB55" s="49"/>
    </row>
    <row r="56" spans="1:28"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49"/>
      <c r="Z56" s="49"/>
      <c r="AA56" s="49"/>
      <c r="AB56" s="49"/>
    </row>
    <row r="57" spans="1:28"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49"/>
      <c r="Z57" s="49"/>
      <c r="AA57" s="49"/>
      <c r="AB57" s="49"/>
    </row>
    <row r="58" spans="1:28"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49"/>
      <c r="Z58" s="49"/>
      <c r="AA58" s="49"/>
      <c r="AB58" s="49"/>
    </row>
    <row r="59" spans="1:28"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49"/>
      <c r="Z59" s="49"/>
      <c r="AA59" s="49"/>
      <c r="AB59" s="49"/>
    </row>
    <row r="60" spans="1:28"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49"/>
      <c r="Z60" s="49"/>
      <c r="AA60" s="49"/>
      <c r="AB60" s="49"/>
    </row>
    <row r="61" spans="1:28"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49"/>
      <c r="Z61" s="49"/>
      <c r="AA61" s="49"/>
      <c r="AB61" s="49"/>
    </row>
    <row r="62" spans="1:28"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49"/>
      <c r="Z62" s="49"/>
      <c r="AA62" s="49"/>
      <c r="AB62" s="49"/>
    </row>
    <row r="63" spans="1:28"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49"/>
      <c r="Z63" s="49"/>
      <c r="AA63" s="49"/>
      <c r="AB63" s="49"/>
    </row>
    <row r="64" spans="1:28"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49"/>
      <c r="Z64" s="49"/>
      <c r="AA64" s="49"/>
      <c r="AB64" s="49"/>
    </row>
    <row r="65" spans="1:28"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49"/>
      <c r="Z65" s="49"/>
      <c r="AA65" s="49"/>
      <c r="AB65" s="49"/>
    </row>
    <row r="66" spans="1:28"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49"/>
      <c r="Z66" s="49"/>
      <c r="AA66" s="49"/>
      <c r="AB66" s="49"/>
    </row>
    <row r="67" spans="1:28"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49"/>
      <c r="Z67" s="49"/>
      <c r="AA67" s="49"/>
      <c r="AB67" s="49"/>
    </row>
    <row r="68" spans="1:28"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49"/>
      <c r="Z68" s="49"/>
      <c r="AA68" s="49"/>
      <c r="AB68" s="49"/>
    </row>
    <row r="69" spans="1:28" ht="12.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49"/>
      <c r="Z69" s="49"/>
      <c r="AA69" s="49"/>
      <c r="AB69" s="49"/>
    </row>
    <row r="70" spans="1:28" ht="12.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49"/>
      <c r="Z70" s="49"/>
      <c r="AA70" s="49"/>
      <c r="AB70" s="49"/>
    </row>
    <row r="71" spans="1:28" ht="12.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49"/>
      <c r="Z71" s="49"/>
      <c r="AA71" s="49"/>
      <c r="AB71" s="49"/>
    </row>
    <row r="72" spans="1:28" ht="12.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49"/>
      <c r="Z72" s="49"/>
      <c r="AA72" s="49"/>
      <c r="AB72" s="49"/>
    </row>
    <row r="73" spans="1:28" ht="12.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49"/>
      <c r="Z73" s="49"/>
      <c r="AA73" s="49"/>
      <c r="AB73" s="49"/>
    </row>
    <row r="74" spans="1:28" ht="12.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49"/>
      <c r="Z74" s="49"/>
      <c r="AA74" s="49"/>
      <c r="AB74" s="49"/>
    </row>
    <row r="75" spans="1:28" ht="12.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49"/>
      <c r="Z75" s="49"/>
      <c r="AA75" s="49"/>
      <c r="AB75" s="49"/>
    </row>
    <row r="76" spans="1:28" ht="12.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49"/>
      <c r="Z76" s="49"/>
      <c r="AA76" s="49"/>
      <c r="AB76" s="49"/>
    </row>
    <row r="77" spans="1:28" ht="12.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49"/>
      <c r="Z77" s="49"/>
      <c r="AA77" s="49"/>
      <c r="AB77" s="49"/>
    </row>
    <row r="78" spans="1:28" ht="12.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49"/>
      <c r="Z78" s="49"/>
      <c r="AA78" s="49"/>
      <c r="AB78" s="49"/>
    </row>
    <row r="79" spans="1:28" ht="12.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49"/>
      <c r="Z79" s="49"/>
      <c r="AA79" s="49"/>
      <c r="AB79" s="49"/>
    </row>
    <row r="80" spans="1:28" ht="12.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49"/>
      <c r="Z80" s="49"/>
      <c r="AA80" s="49"/>
      <c r="AB80" s="49"/>
    </row>
    <row r="81" spans="1:28" ht="12.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49"/>
      <c r="Z81" s="49"/>
      <c r="AA81" s="49"/>
      <c r="AB81" s="49"/>
    </row>
    <row r="82" spans="1:28" ht="12.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49"/>
      <c r="Z82" s="49"/>
      <c r="AA82" s="49"/>
      <c r="AB82" s="49"/>
    </row>
    <row r="83" spans="1:28" ht="12.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49"/>
      <c r="Z83" s="49"/>
      <c r="AA83" s="49"/>
      <c r="AB83" s="49"/>
    </row>
    <row r="84" spans="1:28" ht="12.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49"/>
      <c r="Z84" s="49"/>
      <c r="AA84" s="49"/>
      <c r="AB84" s="49"/>
    </row>
    <row r="85" spans="1:28" ht="12.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49"/>
      <c r="Z85" s="49"/>
      <c r="AA85" s="49"/>
      <c r="AB85" s="49"/>
    </row>
    <row r="86" spans="1:28" ht="12.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49"/>
      <c r="Z86" s="49"/>
      <c r="AA86" s="49"/>
      <c r="AB86" s="49"/>
    </row>
    <row r="87" spans="1:28" ht="12.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49"/>
      <c r="Z87" s="49"/>
      <c r="AA87" s="49"/>
      <c r="AB87" s="49"/>
    </row>
    <row r="88" spans="1:28" ht="12.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49"/>
      <c r="Z88" s="49"/>
      <c r="AA88" s="49"/>
      <c r="AB88" s="49"/>
    </row>
    <row r="89" spans="1:28" ht="12.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49"/>
      <c r="Z89" s="49"/>
      <c r="AA89" s="49"/>
      <c r="AB89" s="49"/>
    </row>
    <row r="90" spans="1:28" ht="12.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49"/>
      <c r="Z90" s="49"/>
      <c r="AA90" s="49"/>
      <c r="AB90" s="49"/>
    </row>
    <row r="91" spans="1:28" ht="12.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49"/>
      <c r="Z91" s="49"/>
      <c r="AA91" s="49"/>
      <c r="AB91" s="49"/>
    </row>
    <row r="92" spans="1:28" ht="12.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49"/>
      <c r="Z92" s="49"/>
      <c r="AA92" s="49"/>
      <c r="AB92" s="49"/>
    </row>
    <row r="93" spans="1:28" ht="12.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49"/>
      <c r="Z93" s="49"/>
      <c r="AA93" s="49"/>
      <c r="AB93" s="49"/>
    </row>
    <row r="94" spans="1:28" ht="12.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49"/>
      <c r="Z94" s="49"/>
      <c r="AA94" s="49"/>
      <c r="AB94" s="49"/>
    </row>
    <row r="95" spans="1:28" ht="12.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49"/>
      <c r="Z95" s="49"/>
      <c r="AA95" s="49"/>
      <c r="AB95" s="49"/>
    </row>
    <row r="96" spans="1:28" ht="12.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49"/>
      <c r="Z96" s="49"/>
      <c r="AA96" s="49"/>
      <c r="AB96" s="49"/>
    </row>
    <row r="97" spans="1:28" ht="12.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49"/>
      <c r="Z97" s="49"/>
      <c r="AA97" s="49"/>
      <c r="AB97" s="49"/>
    </row>
    <row r="98" spans="1:28" ht="12.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49"/>
      <c r="Z98" s="49"/>
      <c r="AA98" s="49"/>
      <c r="AB98" s="49"/>
    </row>
    <row r="99" spans="1:28" ht="12.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49"/>
      <c r="Z99" s="49"/>
      <c r="AA99" s="49"/>
      <c r="AB99" s="49"/>
    </row>
    <row r="100" spans="1:28" ht="12.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49"/>
      <c r="Z100" s="49"/>
      <c r="AA100" s="49"/>
      <c r="AB100" s="49"/>
    </row>
    <row r="101" spans="1:28"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49"/>
      <c r="Z101" s="49"/>
      <c r="AA101" s="49"/>
      <c r="AB101" s="49"/>
    </row>
    <row r="102" spans="1:28"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49"/>
      <c r="Z102" s="49"/>
      <c r="AA102" s="49"/>
      <c r="AB102" s="49"/>
    </row>
    <row r="103" spans="1:28"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49"/>
      <c r="Z103" s="49"/>
      <c r="AA103" s="49"/>
      <c r="AB103" s="49"/>
    </row>
    <row r="104" spans="1:28"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49"/>
      <c r="Z104" s="49"/>
      <c r="AA104" s="49"/>
      <c r="AB104" s="49"/>
    </row>
    <row r="105" spans="1:28"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49"/>
      <c r="Z105" s="49"/>
      <c r="AA105" s="49"/>
      <c r="AB105" s="49"/>
    </row>
    <row r="106" spans="1:28" ht="12.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49"/>
      <c r="Z106" s="49"/>
      <c r="AA106" s="49"/>
      <c r="AB106" s="49"/>
    </row>
    <row r="107" spans="1:28" ht="12.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49"/>
      <c r="Z107" s="49"/>
      <c r="AA107" s="49"/>
      <c r="AB107" s="49"/>
    </row>
    <row r="108" spans="1:28" ht="12.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49"/>
      <c r="Z108" s="49"/>
      <c r="AA108" s="49"/>
      <c r="AB108" s="49"/>
    </row>
    <row r="109" spans="1:28" ht="12.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49"/>
      <c r="Z109" s="49"/>
      <c r="AA109" s="49"/>
      <c r="AB109" s="49"/>
    </row>
    <row r="110" spans="1:28" ht="12.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49"/>
      <c r="Z110" s="49"/>
      <c r="AA110" s="49"/>
      <c r="AB110" s="49"/>
    </row>
    <row r="111" spans="1:28" ht="12.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49"/>
      <c r="Z111" s="49"/>
      <c r="AA111" s="49"/>
      <c r="AB111" s="49"/>
    </row>
    <row r="112" spans="1:28" ht="12.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49"/>
      <c r="Z112" s="49"/>
      <c r="AA112" s="49"/>
      <c r="AB112" s="49"/>
    </row>
    <row r="113" spans="1:28" ht="12.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49"/>
      <c r="Z113" s="49"/>
      <c r="AA113" s="49"/>
      <c r="AB113" s="49"/>
    </row>
    <row r="114" spans="1:28" ht="12.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49"/>
      <c r="Z114" s="49"/>
      <c r="AA114" s="49"/>
      <c r="AB114" s="49"/>
    </row>
    <row r="115" spans="1:28" ht="12.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49"/>
      <c r="Z115" s="49"/>
      <c r="AA115" s="49"/>
      <c r="AB115" s="49"/>
    </row>
    <row r="116" spans="1:28" ht="12.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49"/>
      <c r="Z116" s="49"/>
      <c r="AA116" s="49"/>
      <c r="AB116" s="49"/>
    </row>
    <row r="117" spans="1:28"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49"/>
      <c r="Z117" s="49"/>
      <c r="AA117" s="49"/>
      <c r="AB117" s="49"/>
    </row>
    <row r="118" spans="1:28"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49"/>
      <c r="Z118" s="49"/>
      <c r="AA118" s="49"/>
      <c r="AB118" s="49"/>
    </row>
    <row r="119" spans="1:28"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49"/>
      <c r="Z119" s="49"/>
      <c r="AA119" s="49"/>
      <c r="AB119" s="49"/>
    </row>
    <row r="120" spans="1:28"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49"/>
      <c r="Z120" s="49"/>
      <c r="AA120" s="49"/>
      <c r="AB120" s="49"/>
    </row>
    <row r="121" spans="1:28"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49"/>
      <c r="Z121" s="49"/>
      <c r="AA121" s="49"/>
      <c r="AB121" s="49"/>
    </row>
    <row r="122" spans="1:28"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49"/>
      <c r="Z122" s="49"/>
      <c r="AA122" s="49"/>
      <c r="AB122" s="49"/>
    </row>
    <row r="123" spans="1:28"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49"/>
      <c r="Z123" s="49"/>
      <c r="AA123" s="49"/>
      <c r="AB123" s="49"/>
    </row>
    <row r="124" spans="1:28"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49"/>
      <c r="Z124" s="49"/>
      <c r="AA124" s="49"/>
      <c r="AB124" s="49"/>
    </row>
    <row r="125" spans="1:28"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49"/>
      <c r="Z125" s="49"/>
      <c r="AA125" s="49"/>
      <c r="AB125" s="49"/>
    </row>
    <row r="126" spans="1:28" ht="12.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49"/>
      <c r="Z126" s="49"/>
      <c r="AA126" s="49"/>
      <c r="AB126" s="49"/>
    </row>
    <row r="127" spans="1:28" ht="12.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49"/>
      <c r="Z127" s="49"/>
      <c r="AA127" s="49"/>
      <c r="AB127" s="49"/>
    </row>
    <row r="128" spans="1:28" ht="12.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49"/>
      <c r="Z128" s="49"/>
      <c r="AA128" s="49"/>
      <c r="AB128" s="49"/>
    </row>
    <row r="129" spans="1:28" ht="12.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49"/>
      <c r="Z129" s="49"/>
      <c r="AA129" s="49"/>
      <c r="AB129" s="49"/>
    </row>
    <row r="130" spans="1:28" ht="12.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49"/>
      <c r="Z130" s="49"/>
      <c r="AA130" s="49"/>
      <c r="AB130" s="49"/>
    </row>
    <row r="131" spans="1:28" ht="12.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49"/>
      <c r="Z131" s="49"/>
      <c r="AA131" s="49"/>
      <c r="AB131" s="49"/>
    </row>
    <row r="132" spans="1:28" ht="12.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49"/>
      <c r="Z132" s="49"/>
      <c r="AA132" s="49"/>
      <c r="AB132" s="49"/>
    </row>
    <row r="133" spans="1:28" ht="12.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49"/>
      <c r="Z133" s="49"/>
      <c r="AA133" s="49"/>
      <c r="AB133" s="49"/>
    </row>
    <row r="134" spans="1:28" ht="12.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49"/>
      <c r="Z134" s="49"/>
      <c r="AA134" s="49"/>
      <c r="AB134" s="49"/>
    </row>
    <row r="135" spans="1:28" ht="12.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49"/>
      <c r="Z135" s="49"/>
      <c r="AA135" s="49"/>
      <c r="AB135" s="49"/>
    </row>
    <row r="136" spans="1:28" ht="12.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49"/>
      <c r="Z136" s="49"/>
      <c r="AA136" s="49"/>
      <c r="AB136" s="49"/>
    </row>
    <row r="137" spans="1:28" ht="12.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49"/>
      <c r="Z137" s="49"/>
      <c r="AA137" s="49"/>
      <c r="AB137" s="49"/>
    </row>
    <row r="138" spans="1:28" ht="12.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49"/>
      <c r="Z138" s="49"/>
      <c r="AA138" s="49"/>
      <c r="AB138" s="49"/>
    </row>
    <row r="139" spans="1:28" ht="12.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49"/>
      <c r="Z139" s="49"/>
      <c r="AA139" s="49"/>
      <c r="AB139" s="49"/>
    </row>
    <row r="140" spans="1:28" ht="12.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49"/>
      <c r="Z140" s="49"/>
      <c r="AA140" s="49"/>
      <c r="AB140" s="49"/>
    </row>
    <row r="141" spans="1:28" ht="12.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49"/>
      <c r="Z141" s="49"/>
      <c r="AA141" s="49"/>
      <c r="AB141" s="49"/>
    </row>
    <row r="142" spans="1:28" ht="12.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49"/>
      <c r="Z142" s="49"/>
      <c r="AA142" s="49"/>
      <c r="AB142" s="49"/>
    </row>
    <row r="143" spans="1:28" ht="12.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49"/>
      <c r="Z143" s="49"/>
      <c r="AA143" s="49"/>
      <c r="AB143" s="49"/>
    </row>
    <row r="144" spans="1:28" ht="12.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49"/>
      <c r="Z144" s="49"/>
      <c r="AA144" s="49"/>
      <c r="AB144" s="49"/>
    </row>
    <row r="145" spans="1:28" ht="12.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49"/>
      <c r="Z145" s="49"/>
      <c r="AA145" s="49"/>
      <c r="AB145" s="49"/>
    </row>
    <row r="146" spans="1:28" ht="12.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49"/>
      <c r="Z146" s="49"/>
      <c r="AA146" s="49"/>
      <c r="AB146" s="49"/>
    </row>
    <row r="147" spans="1:28" ht="12.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49"/>
      <c r="Z147" s="49"/>
      <c r="AA147" s="49"/>
      <c r="AB147" s="49"/>
    </row>
    <row r="148" spans="1:28" ht="12.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49"/>
      <c r="Z148" s="49"/>
      <c r="AA148" s="49"/>
      <c r="AB148" s="49"/>
    </row>
    <row r="149" spans="1:28" ht="12.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49"/>
      <c r="Z149" s="49"/>
      <c r="AA149" s="49"/>
      <c r="AB149" s="49"/>
    </row>
    <row r="150" spans="1:28" ht="12.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49"/>
      <c r="Z150" s="49"/>
      <c r="AA150" s="49"/>
      <c r="AB150" s="49"/>
    </row>
    <row r="151" spans="1:28" ht="12.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49"/>
      <c r="Z151" s="49"/>
      <c r="AA151" s="49"/>
      <c r="AB151" s="49"/>
    </row>
    <row r="152" spans="1:28" ht="12.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49"/>
      <c r="Z152" s="49"/>
      <c r="AA152" s="49"/>
      <c r="AB152" s="49"/>
    </row>
    <row r="153" spans="1:28" ht="12.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49"/>
      <c r="Z153" s="49"/>
      <c r="AA153" s="49"/>
      <c r="AB153" s="49"/>
    </row>
    <row r="154" spans="1:28" ht="12.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49"/>
      <c r="Z154" s="49"/>
      <c r="AA154" s="49"/>
      <c r="AB154" s="49"/>
    </row>
    <row r="155" spans="1:28" ht="12.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49"/>
      <c r="Z155" s="49"/>
      <c r="AA155" s="49"/>
      <c r="AB155" s="49"/>
    </row>
    <row r="156" spans="1:28" ht="12.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49"/>
      <c r="Z156" s="49"/>
      <c r="AA156" s="49"/>
      <c r="AB156" s="49"/>
    </row>
    <row r="157" spans="1:28" ht="12.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49"/>
      <c r="Z157" s="49"/>
      <c r="AA157" s="49"/>
      <c r="AB157" s="49"/>
    </row>
    <row r="158" spans="1:28" ht="12.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49"/>
      <c r="Z158" s="49"/>
      <c r="AA158" s="49"/>
      <c r="AB158" s="49"/>
    </row>
    <row r="159" spans="1:28" ht="12.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49"/>
      <c r="Z159" s="49"/>
      <c r="AA159" s="49"/>
      <c r="AB159" s="49"/>
    </row>
    <row r="160" spans="1:28" ht="12.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49"/>
      <c r="Z160" s="49"/>
      <c r="AA160" s="49"/>
      <c r="AB160" s="49"/>
    </row>
    <row r="161" spans="1:28" ht="12.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49"/>
      <c r="Z161" s="49"/>
      <c r="AA161" s="49"/>
      <c r="AB161" s="49"/>
    </row>
    <row r="162" spans="1:28" ht="12.75" customHeight="1" x14ac:dyDescent="0.2">
      <c r="A162" s="8"/>
      <c r="B162" s="8"/>
      <c r="C162" s="8"/>
      <c r="D162" s="8"/>
      <c r="E162" s="8"/>
      <c r="F162" s="8"/>
      <c r="G162" s="8"/>
      <c r="H162" s="8"/>
      <c r="I162" s="8"/>
      <c r="J162" s="49"/>
      <c r="K162" s="49"/>
      <c r="L162" s="49"/>
      <c r="M162" s="49"/>
      <c r="N162" s="49"/>
      <c r="O162" s="49"/>
      <c r="P162" s="49"/>
      <c r="Q162" s="49"/>
      <c r="R162" s="49"/>
      <c r="S162" s="49"/>
      <c r="T162" s="49"/>
      <c r="U162" s="49"/>
      <c r="V162" s="49"/>
      <c r="W162" s="49"/>
      <c r="X162" s="49"/>
      <c r="Y162" s="49"/>
      <c r="Z162" s="49"/>
      <c r="AA162" s="49"/>
      <c r="AB162" s="49"/>
    </row>
    <row r="163" spans="1:28" ht="12.75" customHeight="1" x14ac:dyDescent="0.2">
      <c r="A163" s="8"/>
      <c r="B163" s="8"/>
      <c r="C163" s="8"/>
      <c r="D163" s="8"/>
      <c r="E163" s="8"/>
      <c r="F163" s="8"/>
      <c r="G163" s="8"/>
      <c r="H163" s="8"/>
      <c r="I163" s="8"/>
      <c r="J163" s="49"/>
      <c r="K163" s="49"/>
      <c r="L163" s="49"/>
      <c r="M163" s="49"/>
      <c r="N163" s="49"/>
      <c r="O163" s="49"/>
      <c r="P163" s="49"/>
      <c r="Q163" s="49"/>
      <c r="R163" s="49"/>
      <c r="S163" s="49"/>
      <c r="T163" s="49"/>
      <c r="U163" s="49"/>
      <c r="V163" s="49"/>
      <c r="W163" s="49"/>
      <c r="X163" s="49"/>
      <c r="Y163" s="49"/>
      <c r="Z163" s="49"/>
      <c r="AA163" s="49"/>
      <c r="AB163" s="49"/>
    </row>
    <row r="164" spans="1:28" ht="12.75" customHeight="1" x14ac:dyDescent="0.2">
      <c r="A164" s="8"/>
      <c r="B164" s="8"/>
      <c r="C164" s="8"/>
      <c r="D164" s="8"/>
      <c r="E164" s="8"/>
      <c r="F164" s="8"/>
      <c r="G164" s="8"/>
      <c r="H164" s="8"/>
      <c r="I164" s="8"/>
      <c r="J164" s="49"/>
      <c r="K164" s="49"/>
      <c r="L164" s="49"/>
      <c r="M164" s="49"/>
      <c r="N164" s="49"/>
      <c r="O164" s="49"/>
      <c r="P164" s="49"/>
      <c r="Q164" s="49"/>
      <c r="R164" s="49"/>
      <c r="S164" s="49"/>
      <c r="T164" s="49"/>
      <c r="U164" s="49"/>
      <c r="V164" s="49"/>
      <c r="W164" s="49"/>
      <c r="X164" s="49"/>
      <c r="Y164" s="49"/>
      <c r="Z164" s="49"/>
      <c r="AA164" s="49"/>
      <c r="AB164" s="49"/>
    </row>
    <row r="165" spans="1:28" ht="12.75" customHeight="1" x14ac:dyDescent="0.2">
      <c r="A165" s="8"/>
      <c r="B165" s="8"/>
      <c r="C165" s="8"/>
      <c r="D165" s="8"/>
      <c r="E165" s="8"/>
      <c r="F165" s="8"/>
      <c r="G165" s="8"/>
      <c r="H165" s="8"/>
      <c r="I165" s="8"/>
      <c r="J165" s="49"/>
      <c r="K165" s="49"/>
      <c r="L165" s="49"/>
      <c r="M165" s="49"/>
      <c r="N165" s="49"/>
      <c r="O165" s="49"/>
      <c r="P165" s="49"/>
      <c r="Q165" s="49"/>
      <c r="R165" s="49"/>
      <c r="S165" s="49"/>
      <c r="T165" s="49"/>
      <c r="U165" s="49"/>
      <c r="V165" s="49"/>
      <c r="W165" s="49"/>
      <c r="X165" s="49"/>
      <c r="Y165" s="49"/>
      <c r="Z165" s="49"/>
      <c r="AA165" s="49"/>
      <c r="AB165" s="49"/>
    </row>
    <row r="166" spans="1:28" ht="12.75" customHeight="1" x14ac:dyDescent="0.2">
      <c r="A166" s="8"/>
      <c r="B166" s="8"/>
      <c r="C166" s="8"/>
      <c r="D166" s="8"/>
      <c r="E166" s="8"/>
      <c r="F166" s="8"/>
      <c r="G166" s="8"/>
      <c r="H166" s="8"/>
      <c r="I166" s="8"/>
      <c r="J166" s="49"/>
      <c r="K166" s="49"/>
      <c r="L166" s="49"/>
      <c r="M166" s="49"/>
      <c r="N166" s="49"/>
      <c r="O166" s="49"/>
      <c r="P166" s="49"/>
      <c r="Q166" s="49"/>
      <c r="R166" s="49"/>
      <c r="S166" s="49"/>
      <c r="T166" s="49"/>
      <c r="U166" s="49"/>
      <c r="V166" s="49"/>
      <c r="W166" s="49"/>
      <c r="X166" s="49"/>
      <c r="Y166" s="49"/>
      <c r="Z166" s="49"/>
      <c r="AA166" s="49"/>
      <c r="AB166" s="49"/>
    </row>
    <row r="167" spans="1:28" ht="12.75" customHeight="1" x14ac:dyDescent="0.2">
      <c r="A167" s="8"/>
      <c r="B167" s="8"/>
      <c r="C167" s="8"/>
      <c r="D167" s="8"/>
      <c r="E167" s="8"/>
      <c r="F167" s="8"/>
      <c r="G167" s="8"/>
      <c r="H167" s="8"/>
      <c r="I167" s="8"/>
      <c r="J167" s="49"/>
      <c r="K167" s="49"/>
      <c r="L167" s="49"/>
      <c r="M167" s="49"/>
      <c r="N167" s="49"/>
      <c r="O167" s="49"/>
      <c r="P167" s="49"/>
      <c r="Q167" s="49"/>
      <c r="R167" s="49"/>
      <c r="S167" s="49"/>
      <c r="T167" s="49"/>
      <c r="U167" s="49"/>
      <c r="V167" s="49"/>
      <c r="W167" s="49"/>
      <c r="X167" s="49"/>
      <c r="Y167" s="49"/>
      <c r="Z167" s="49"/>
      <c r="AA167" s="49"/>
      <c r="AB167" s="49"/>
    </row>
    <row r="168" spans="1:28" ht="12.75" customHeight="1" x14ac:dyDescent="0.2">
      <c r="A168" s="8"/>
      <c r="B168" s="8"/>
      <c r="C168" s="8"/>
      <c r="D168" s="8"/>
      <c r="E168" s="8"/>
      <c r="F168" s="8"/>
      <c r="G168" s="8"/>
      <c r="H168" s="8"/>
      <c r="I168" s="8"/>
      <c r="J168" s="49"/>
      <c r="K168" s="49"/>
      <c r="L168" s="49"/>
      <c r="M168" s="49"/>
      <c r="N168" s="49"/>
      <c r="O168" s="49"/>
      <c r="P168" s="49"/>
      <c r="Q168" s="49"/>
      <c r="R168" s="49"/>
      <c r="S168" s="49"/>
      <c r="T168" s="49"/>
      <c r="U168" s="49"/>
      <c r="V168" s="49"/>
      <c r="W168" s="49"/>
      <c r="X168" s="49"/>
      <c r="Y168" s="49"/>
      <c r="Z168" s="49"/>
      <c r="AA168" s="49"/>
      <c r="AB168" s="49"/>
    </row>
    <row r="169" spans="1:28" ht="12.75" customHeight="1" x14ac:dyDescent="0.2">
      <c r="A169" s="8"/>
      <c r="B169" s="8"/>
      <c r="C169" s="8"/>
      <c r="D169" s="8"/>
      <c r="E169" s="8"/>
      <c r="F169" s="8"/>
      <c r="G169" s="8"/>
      <c r="H169" s="8"/>
      <c r="I169" s="8"/>
      <c r="J169" s="49"/>
      <c r="K169" s="49"/>
      <c r="L169" s="49"/>
      <c r="M169" s="49"/>
      <c r="N169" s="49"/>
      <c r="O169" s="49"/>
      <c r="P169" s="49"/>
      <c r="Q169" s="49"/>
      <c r="R169" s="49"/>
      <c r="S169" s="49"/>
      <c r="T169" s="49"/>
      <c r="U169" s="49"/>
      <c r="V169" s="49"/>
      <c r="W169" s="49"/>
      <c r="X169" s="49"/>
      <c r="Y169" s="49"/>
      <c r="Z169" s="49"/>
      <c r="AA169" s="49"/>
      <c r="AB169" s="49"/>
    </row>
    <row r="170" spans="1:28" ht="12.75" customHeight="1" x14ac:dyDescent="0.2">
      <c r="A170" s="8"/>
      <c r="B170" s="8"/>
      <c r="C170" s="8"/>
      <c r="D170" s="8"/>
      <c r="E170" s="8"/>
      <c r="F170" s="8"/>
      <c r="G170" s="8"/>
      <c r="H170" s="8"/>
      <c r="I170" s="8"/>
      <c r="J170" s="49"/>
      <c r="K170" s="49"/>
      <c r="L170" s="49"/>
      <c r="M170" s="49"/>
      <c r="N170" s="49"/>
      <c r="O170" s="49"/>
      <c r="P170" s="49"/>
      <c r="Q170" s="49"/>
      <c r="R170" s="49"/>
      <c r="S170" s="49"/>
      <c r="T170" s="49"/>
      <c r="U170" s="49"/>
      <c r="V170" s="49"/>
      <c r="W170" s="49"/>
      <c r="X170" s="49"/>
      <c r="Y170" s="49"/>
      <c r="Z170" s="49"/>
      <c r="AA170" s="49"/>
      <c r="AB170" s="49"/>
    </row>
    <row r="171" spans="1:28" ht="12.75" customHeight="1" x14ac:dyDescent="0.2">
      <c r="A171" s="8"/>
      <c r="B171" s="8"/>
      <c r="C171" s="8"/>
      <c r="D171" s="8"/>
      <c r="E171" s="8"/>
      <c r="F171" s="8"/>
      <c r="G171" s="8"/>
      <c r="H171" s="8"/>
      <c r="I171" s="8"/>
      <c r="J171" s="49"/>
      <c r="K171" s="49"/>
      <c r="L171" s="49"/>
      <c r="M171" s="49"/>
      <c r="N171" s="49"/>
      <c r="O171" s="49"/>
      <c r="P171" s="49"/>
      <c r="Q171" s="49"/>
      <c r="R171" s="49"/>
      <c r="S171" s="49"/>
      <c r="T171" s="49"/>
      <c r="U171" s="49"/>
      <c r="V171" s="49"/>
      <c r="W171" s="49"/>
      <c r="X171" s="49"/>
      <c r="Y171" s="49"/>
      <c r="Z171" s="49"/>
      <c r="AA171" s="49"/>
      <c r="AB171" s="49"/>
    </row>
    <row r="172" spans="1:28" ht="12.75" customHeight="1" x14ac:dyDescent="0.2">
      <c r="A172" s="8"/>
      <c r="B172" s="8"/>
      <c r="C172" s="8"/>
      <c r="D172" s="8"/>
      <c r="E172" s="8"/>
      <c r="F172" s="8"/>
      <c r="G172" s="8"/>
      <c r="H172" s="8"/>
      <c r="I172" s="8"/>
      <c r="J172" s="49"/>
      <c r="K172" s="49"/>
      <c r="L172" s="49"/>
      <c r="M172" s="49"/>
      <c r="N172" s="49"/>
      <c r="O172" s="49"/>
      <c r="P172" s="49"/>
      <c r="Q172" s="49"/>
      <c r="R172" s="49"/>
      <c r="S172" s="49"/>
      <c r="T172" s="49"/>
      <c r="U172" s="49"/>
      <c r="V172" s="49"/>
      <c r="W172" s="49"/>
      <c r="X172" s="49"/>
      <c r="Y172" s="49"/>
      <c r="Z172" s="49"/>
      <c r="AA172" s="49"/>
      <c r="AB172" s="49"/>
    </row>
    <row r="173" spans="1:28" ht="12.75" customHeight="1" x14ac:dyDescent="0.2">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spans="1:28" ht="12.75" customHeight="1" x14ac:dyDescent="0.2">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spans="1:28" ht="12.75" customHeight="1" x14ac:dyDescent="0.2">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row>
    <row r="176" spans="1:28" ht="12.75" customHeight="1" x14ac:dyDescent="0.2">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row>
    <row r="177" spans="1:28" ht="12.75" customHeight="1" x14ac:dyDescent="0.2">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row>
    <row r="178" spans="1:28" ht="12.75" customHeight="1" x14ac:dyDescent="0.2">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row>
    <row r="179" spans="1:28" ht="12.75" customHeight="1" x14ac:dyDescent="0.2">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row>
    <row r="180" spans="1:28" ht="12.75" customHeight="1" x14ac:dyDescent="0.2">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row>
    <row r="181" spans="1:28" ht="12.75" customHeight="1" x14ac:dyDescent="0.2">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row>
    <row r="182" spans="1:28" ht="12.75" customHeight="1" x14ac:dyDescent="0.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row>
    <row r="183" spans="1:28" ht="12.75" customHeight="1" x14ac:dyDescent="0.2">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row>
    <row r="184" spans="1:28" ht="12.75" customHeight="1" x14ac:dyDescent="0.2">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row>
    <row r="185" spans="1:28" ht="12.75" customHeight="1" x14ac:dyDescent="0.2">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row>
    <row r="186" spans="1:28" ht="12.75" customHeight="1" x14ac:dyDescent="0.2">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row>
    <row r="187" spans="1:28" ht="12.75" customHeight="1" x14ac:dyDescent="0.2">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row>
    <row r="188" spans="1:28" ht="12.75" customHeight="1" x14ac:dyDescent="0.2">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row>
    <row r="189" spans="1:28" ht="12.75" customHeight="1" x14ac:dyDescent="0.2">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row>
    <row r="190" spans="1:28" ht="12.75" customHeight="1" x14ac:dyDescent="0.2">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row>
    <row r="191" spans="1:28" ht="12.75" customHeight="1" x14ac:dyDescent="0.2">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row>
    <row r="192" spans="1:28" ht="12.75" customHeight="1" x14ac:dyDescent="0.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row>
    <row r="193" spans="1:28" ht="12.75" customHeight="1" x14ac:dyDescent="0.2">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row>
    <row r="194" spans="1:28" ht="12.75" customHeight="1" x14ac:dyDescent="0.2">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row>
    <row r="195" spans="1:28" ht="12.75" customHeight="1" x14ac:dyDescent="0.2">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row>
    <row r="196" spans="1:28" ht="12.75" customHeight="1" x14ac:dyDescent="0.2">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row>
    <row r="197" spans="1:28" ht="12.75" customHeight="1" x14ac:dyDescent="0.2">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row>
    <row r="198" spans="1:28" ht="12.75" customHeight="1" x14ac:dyDescent="0.2">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row>
    <row r="199" spans="1:28" ht="12.75" customHeight="1" x14ac:dyDescent="0.2">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row>
    <row r="200" spans="1:28" ht="12.75" customHeight="1" x14ac:dyDescent="0.2">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row>
    <row r="201" spans="1:28" ht="12.75" customHeight="1" x14ac:dyDescent="0.2">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row>
    <row r="202" spans="1:28" ht="12.75" customHeight="1" x14ac:dyDescent="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row>
    <row r="203" spans="1:28" ht="12.75" customHeight="1" x14ac:dyDescent="0.2">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row>
    <row r="204" spans="1:28" ht="12.75" customHeight="1" x14ac:dyDescent="0.2">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row>
    <row r="205" spans="1:28" ht="12.75" customHeight="1" x14ac:dyDescent="0.2">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row>
    <row r="206" spans="1:28" ht="12.75" customHeight="1" x14ac:dyDescent="0.2">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row>
    <row r="207" spans="1:28" ht="12.75" customHeight="1" x14ac:dyDescent="0.2">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row>
    <row r="208" spans="1:28" ht="12.75" customHeight="1" x14ac:dyDescent="0.2">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row>
    <row r="209" spans="1:28" ht="12.75" customHeight="1" x14ac:dyDescent="0.2">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row>
    <row r="210" spans="1:28" ht="12.75" customHeight="1" x14ac:dyDescent="0.2">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row>
    <row r="211" spans="1:28" ht="12.75" customHeight="1" x14ac:dyDescent="0.2">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row>
    <row r="212" spans="1:28" ht="12.75" customHeight="1" x14ac:dyDescent="0.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row>
    <row r="213" spans="1:28" ht="12.75" customHeight="1"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row>
    <row r="214" spans="1:28" ht="12.75" customHeight="1"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row>
    <row r="215" spans="1:28" ht="12.75" customHeight="1"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row>
    <row r="216" spans="1:28" ht="12.75" customHeight="1"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row>
    <row r="217" spans="1:28" ht="12.75" customHeight="1"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row>
    <row r="218" spans="1:28" ht="12.75" customHeight="1"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row>
    <row r="219" spans="1:28" ht="12.75" customHeight="1"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row>
    <row r="220" spans="1:28" ht="12.75" customHeight="1"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row>
    <row r="221" spans="1:28" ht="12.75" customHeight="1"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row>
    <row r="222" spans="1:28" ht="12.75" customHeight="1"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row>
    <row r="223" spans="1:28" ht="12.75" customHeight="1"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row>
    <row r="224" spans="1:28" ht="12.75" customHeight="1"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row>
    <row r="225" spans="1:28" ht="12.75" customHeight="1"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row>
    <row r="226" spans="1:28" ht="12.75" customHeight="1"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row>
    <row r="227" spans="1:28" ht="12.75" customHeight="1"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row>
    <row r="228" spans="1:28" ht="12.75" customHeight="1"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row>
    <row r="229" spans="1:28" ht="12.75" customHeight="1"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row>
    <row r="230" spans="1:28" ht="12.75" customHeight="1"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row>
    <row r="231" spans="1:28" ht="12.75" customHeight="1"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row>
    <row r="232" spans="1:28" ht="12.75" customHeight="1"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row>
    <row r="233" spans="1:28" ht="12.75" customHeight="1"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row>
    <row r="234" spans="1:28" ht="12.75" customHeight="1"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row>
    <row r="235" spans="1:28" ht="12.75" customHeight="1"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row>
    <row r="236" spans="1:28" ht="12.75" customHeight="1"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row>
    <row r="237" spans="1:28" ht="12.75" customHeight="1"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row>
    <row r="238" spans="1:28" ht="12.75" customHeight="1"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row>
    <row r="239" spans="1:28" ht="12.75" customHeight="1"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row>
    <row r="240" spans="1:28" ht="12.75" customHeight="1"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row>
    <row r="241" spans="1:28" ht="12.75" customHeight="1"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row>
    <row r="242" spans="1:28" ht="12.75" customHeight="1"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row>
    <row r="243" spans="1:28" ht="12.75" customHeight="1"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row>
    <row r="244" spans="1:28" ht="12.75" customHeight="1"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row>
    <row r="245" spans="1:28" ht="12.75" customHeight="1"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row>
    <row r="246" spans="1:28" ht="12.75" customHeight="1"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row>
    <row r="247" spans="1:28" ht="12.75" customHeight="1"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row>
    <row r="248" spans="1:28" ht="12.75" customHeight="1"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row>
    <row r="249" spans="1:28" ht="12.75" customHeight="1"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row>
    <row r="250" spans="1:28" ht="12.75" customHeight="1"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row>
    <row r="251" spans="1:28" ht="12.75" customHeight="1"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row>
    <row r="252" spans="1:28" ht="12.75" customHeight="1"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row>
    <row r="253" spans="1:28" ht="12.75" customHeight="1"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row>
    <row r="254" spans="1:28" ht="12.75" customHeight="1"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row>
    <row r="255" spans="1:28" ht="12.75" customHeight="1"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row>
    <row r="256" spans="1:28" ht="12.75" customHeight="1"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row>
    <row r="257" spans="1:28" ht="12.75" customHeight="1"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row>
    <row r="258" spans="1:28" ht="12.75" customHeight="1"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row>
    <row r="259" spans="1:28" ht="12.75" customHeight="1"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row>
    <row r="260" spans="1:28" ht="12.75" customHeight="1"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row>
    <row r="261" spans="1:28" ht="12.75" customHeight="1"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row>
    <row r="262" spans="1:28" ht="12.75" customHeight="1"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row>
    <row r="263" spans="1:28" ht="12.75" customHeight="1"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row>
    <row r="264" spans="1:28" ht="12.75" customHeight="1"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row>
    <row r="265" spans="1:28" ht="12.75" customHeight="1"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row>
    <row r="266" spans="1:28" ht="12.75" customHeight="1"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row>
    <row r="267" spans="1:28" ht="12.75" customHeight="1"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row>
    <row r="268" spans="1:28" ht="12.75" customHeight="1"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row>
    <row r="269" spans="1:28" ht="12.75" customHeight="1"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row>
    <row r="270" spans="1:28" ht="12.75" customHeight="1"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row>
    <row r="271" spans="1:28" ht="12.75" customHeight="1"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row>
    <row r="272" spans="1:28" ht="12.75" customHeight="1"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row>
    <row r="273" spans="1:28" ht="12.75" customHeight="1"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row>
    <row r="274" spans="1:28" ht="12.75" customHeight="1"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row>
    <row r="275" spans="1:28" ht="12.75" customHeight="1"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row>
    <row r="276" spans="1:28" ht="12.75" customHeight="1"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row>
    <row r="277" spans="1:28" ht="12.75" customHeight="1"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row>
    <row r="278" spans="1:28" ht="12.75" customHeight="1"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row>
    <row r="279" spans="1:28" ht="12.75" customHeight="1"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row>
    <row r="280" spans="1:28" ht="12.75" customHeight="1"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row>
    <row r="281" spans="1:28" ht="12.75" customHeight="1"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row>
    <row r="282" spans="1:28" ht="12.75" customHeight="1"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row>
    <row r="283" spans="1:28" ht="12.75" customHeight="1"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row>
    <row r="284" spans="1:28" ht="12.75" customHeight="1"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row>
    <row r="285" spans="1:28" ht="12.75" customHeight="1"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row>
    <row r="286" spans="1:28" ht="12.75" customHeight="1"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row>
    <row r="287" spans="1:28" ht="12.75" customHeight="1"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row>
    <row r="288" spans="1:28" ht="12.75" customHeight="1"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row>
    <row r="289" spans="1:28" ht="12.75" customHeight="1"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row>
    <row r="290" spans="1:28" ht="12.75" customHeight="1"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row>
    <row r="291" spans="1:28" ht="12.75" customHeight="1"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row>
    <row r="292" spans="1:28" ht="12.75" customHeight="1"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row>
    <row r="293" spans="1:28" ht="12.75" customHeight="1"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row>
    <row r="294" spans="1:28" ht="12.75" customHeight="1"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row>
    <row r="295" spans="1:28" ht="12.75" customHeight="1"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row>
    <row r="296" spans="1:28" ht="12.75" customHeight="1"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row>
    <row r="297" spans="1:28" ht="12.75" customHeight="1"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row>
    <row r="298" spans="1:28" ht="12.75" customHeight="1"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row>
    <row r="299" spans="1:28" ht="12.75" customHeight="1"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row>
    <row r="300" spans="1:28" ht="12.75" customHeight="1"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row>
    <row r="301" spans="1:28" ht="12.75" customHeight="1"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row>
    <row r="302" spans="1:28" ht="12.75" customHeight="1"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row>
    <row r="303" spans="1:28" ht="12.75" customHeight="1"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row>
    <row r="304" spans="1:28" ht="12.75" customHeight="1"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row>
    <row r="305" spans="1:28" ht="12.75" customHeight="1"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row>
    <row r="306" spans="1:28" ht="12.75" customHeight="1"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row>
    <row r="307" spans="1:28" ht="12.75" customHeight="1"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row>
    <row r="308" spans="1:28" ht="12.75" customHeight="1"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row>
    <row r="309" spans="1:28" ht="12.75" customHeight="1"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row>
    <row r="310" spans="1:28" ht="12.75" customHeight="1"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row>
    <row r="311" spans="1:28" ht="12.75" customHeight="1"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row>
    <row r="312" spans="1:28" ht="12.75" customHeight="1"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row>
    <row r="313" spans="1:28" ht="12.75" customHeight="1"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row>
    <row r="314" spans="1:28" ht="12.75" customHeight="1"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row>
    <row r="315" spans="1:28" ht="12.75" customHeight="1"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row>
    <row r="316" spans="1:28" ht="12.75" customHeight="1"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row>
    <row r="317" spans="1:28" ht="12.75" customHeight="1"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row>
    <row r="318" spans="1:28" ht="12.75" customHeight="1"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row>
    <row r="319" spans="1:28" ht="12.75" customHeight="1"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row>
    <row r="320" spans="1:28" ht="12.75" customHeight="1"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row>
    <row r="321" spans="1:28" ht="12.75" customHeight="1"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row>
    <row r="322" spans="1:28" ht="12.75" customHeight="1"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row>
    <row r="323" spans="1:28" ht="12.75" customHeight="1"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row>
    <row r="324" spans="1:28" ht="12.75" customHeight="1"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row>
    <row r="325" spans="1:28" ht="12.75" customHeight="1"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row>
    <row r="326" spans="1:28" ht="12.75" customHeight="1"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row>
    <row r="327" spans="1:28" ht="12.75" customHeight="1"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row>
    <row r="328" spans="1:28" ht="12.75" customHeight="1"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row>
    <row r="329" spans="1:28" ht="12.75" customHeight="1"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row>
    <row r="330" spans="1:28" ht="12.75" customHeight="1"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row>
    <row r="331" spans="1:28" ht="12.75" customHeight="1"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row>
    <row r="332" spans="1:28" ht="12.75" customHeight="1"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row>
    <row r="333" spans="1:28" ht="12.75" customHeight="1"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row>
    <row r="334" spans="1:28" ht="12.75" customHeight="1"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row>
    <row r="335" spans="1:28" ht="12.75" customHeight="1"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row>
    <row r="336" spans="1:28" ht="12.75" customHeight="1"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row>
    <row r="337" spans="1:28" ht="12.75" customHeight="1"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row>
    <row r="338" spans="1:28" ht="12.75" customHeight="1"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row>
    <row r="339" spans="1:28" ht="12.75" customHeight="1"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row>
    <row r="340" spans="1:28" ht="12.75" customHeight="1"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row>
    <row r="341" spans="1:28" ht="12.75" customHeight="1"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row>
    <row r="342" spans="1:28" ht="12.75" customHeight="1"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row>
    <row r="343" spans="1:28" ht="12.75" customHeight="1"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row>
    <row r="344" spans="1:28" ht="12.75" customHeight="1"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row>
    <row r="345" spans="1:28" ht="12.75" customHeight="1"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row>
    <row r="346" spans="1:28" ht="12.75" customHeight="1"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row>
    <row r="347" spans="1:28" ht="12.75" customHeight="1"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row>
    <row r="348" spans="1:28" ht="12.75" customHeight="1"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row>
    <row r="349" spans="1:28" ht="12.75" customHeight="1"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row>
    <row r="350" spans="1:28" ht="12.75" customHeight="1"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row>
    <row r="351" spans="1:28" ht="12.75" customHeight="1"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row>
    <row r="352" spans="1:28" ht="12.75" customHeight="1"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row>
    <row r="353" spans="1:28" ht="12.75" customHeight="1"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row>
    <row r="354" spans="1:28" ht="12.75" customHeight="1"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row>
    <row r="355" spans="1:28" ht="12.75" customHeight="1"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row>
    <row r="356" spans="1:28" ht="12.75" customHeight="1"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row>
    <row r="357" spans="1:28" ht="12.75" customHeight="1"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row>
    <row r="358" spans="1:28" ht="12.75" customHeight="1"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row>
    <row r="359" spans="1:28" ht="12.75" customHeight="1"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row>
    <row r="360" spans="1:28" ht="12.75" customHeight="1"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row>
    <row r="361" spans="1:28" ht="12.75" customHeight="1"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row>
    <row r="362" spans="1:28" ht="12.75" customHeight="1"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row>
    <row r="363" spans="1:28" ht="12.75" customHeight="1"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row>
    <row r="364" spans="1:28" ht="12.75" customHeight="1"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row>
    <row r="365" spans="1:28" ht="12.75" customHeight="1"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row>
    <row r="366" spans="1:28" ht="12.75" customHeight="1"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row>
    <row r="367" spans="1:28" ht="12.75" customHeight="1"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row>
    <row r="368" spans="1:28" ht="12.75" customHeight="1"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row>
    <row r="369" spans="1:28" ht="12.75" customHeight="1"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row>
    <row r="370" spans="1:28" ht="12.75" customHeight="1"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row>
    <row r="371" spans="1:28" ht="12.75" customHeight="1"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row>
    <row r="372" spans="1:28" ht="12.75" customHeight="1"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row>
    <row r="373" spans="1:28" ht="12.75" customHeight="1"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row>
    <row r="374" spans="1:28" ht="12.75" customHeight="1"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row>
    <row r="375" spans="1:28" ht="12.75" customHeight="1"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row>
    <row r="376" spans="1:28" ht="12.75" customHeight="1"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row>
    <row r="377" spans="1:28" ht="12.75" customHeight="1"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row>
    <row r="378" spans="1:28" ht="12.75" customHeight="1"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row>
    <row r="379" spans="1:28" ht="12.75" customHeight="1"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row>
    <row r="380" spans="1:28" ht="12.75" customHeight="1"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row>
    <row r="381" spans="1:28" ht="12.75" customHeight="1"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row>
    <row r="382" spans="1:28" ht="12.75" customHeight="1"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row>
    <row r="383" spans="1:28" ht="12.75" customHeight="1"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row>
    <row r="384" spans="1:28" ht="12.75" customHeight="1"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row>
    <row r="385" spans="1:28" ht="12.75" customHeight="1"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row>
    <row r="386" spans="1:28" ht="12.75" customHeight="1"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row>
    <row r="387" spans="1:28" ht="12.75" customHeight="1"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row>
    <row r="388" spans="1:28" ht="12.75" customHeight="1"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row>
    <row r="389" spans="1:28" ht="12.75" customHeight="1"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row>
    <row r="390" spans="1:28" ht="12.75" customHeight="1"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row>
    <row r="391" spans="1:28" ht="12.75" customHeight="1"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row>
    <row r="392" spans="1:28" ht="12.75" customHeight="1"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row>
    <row r="393" spans="1:28" ht="12.75" customHeight="1"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row>
    <row r="394" spans="1:28" ht="12.75" customHeight="1"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row>
    <row r="395" spans="1:28" ht="12.75" customHeight="1"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row>
    <row r="396" spans="1:28" ht="12.75" customHeight="1"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row>
    <row r="397" spans="1:28" ht="12.75" customHeight="1"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row>
    <row r="398" spans="1:28" ht="12.75" customHeight="1"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row>
    <row r="399" spans="1:28" ht="12.75" customHeight="1"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row>
    <row r="400" spans="1:28" ht="12.75" customHeight="1"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row>
    <row r="401" spans="1:28" ht="12.75" customHeight="1"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row>
    <row r="402" spans="1:28" ht="12.75" customHeight="1"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row>
    <row r="403" spans="1:28" ht="12.75" customHeight="1"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row>
    <row r="404" spans="1:28" ht="12.75" customHeight="1"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row>
    <row r="405" spans="1:28" ht="12.75" customHeight="1"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row>
    <row r="406" spans="1:28" ht="12.75" customHeight="1"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row>
    <row r="407" spans="1:28" ht="12.75" customHeight="1"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row>
    <row r="408" spans="1:28" ht="12.75" customHeight="1"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row>
    <row r="409" spans="1:28" ht="12.75" customHeight="1"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row>
    <row r="410" spans="1:28" ht="12.75" customHeight="1"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row>
    <row r="411" spans="1:28" ht="12.75" customHeight="1"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row>
    <row r="412" spans="1:28" ht="12.75" customHeight="1"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row>
    <row r="413" spans="1:28" ht="12.75" customHeight="1"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row>
    <row r="414" spans="1:28" ht="12.75" customHeight="1"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row>
    <row r="415" spans="1:28" ht="12.75" customHeight="1"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row>
    <row r="416" spans="1:28" ht="12.75" customHeight="1"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row>
    <row r="417" spans="1:28" ht="12.75" customHeight="1"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row>
    <row r="418" spans="1:28" ht="12.75" customHeight="1"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row>
    <row r="419" spans="1:28" ht="12.75" customHeight="1"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row>
    <row r="420" spans="1:28" ht="12.75" customHeight="1"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row>
    <row r="421" spans="1:28" ht="12.75" customHeight="1"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row>
    <row r="422" spans="1:28" ht="12.75" customHeight="1"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row>
    <row r="423" spans="1:28" ht="12.75" customHeight="1"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row>
    <row r="424" spans="1:28" ht="12.75" customHeight="1"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row>
    <row r="425" spans="1:28" ht="12.75" customHeight="1"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row>
    <row r="426" spans="1:28" ht="12.75" customHeight="1"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row>
    <row r="427" spans="1:28" ht="12.75" customHeight="1"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row>
    <row r="428" spans="1:28" ht="12.75" customHeight="1"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row>
    <row r="429" spans="1:28" ht="12.75" customHeight="1"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row>
    <row r="430" spans="1:28" ht="12.75" customHeight="1"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row>
    <row r="431" spans="1:28" ht="12.75" customHeight="1"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row>
    <row r="432" spans="1:28" ht="12.75" customHeight="1"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row>
    <row r="433" spans="1:28" ht="12.75" customHeight="1"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row>
    <row r="434" spans="1:28" ht="12.75" customHeight="1"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row>
    <row r="435" spans="1:28" ht="12.75" customHeight="1"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row>
    <row r="436" spans="1:28" ht="12.75" customHeight="1"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row>
    <row r="437" spans="1:28" ht="12.75" customHeight="1"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row>
    <row r="438" spans="1:28" ht="12.75" customHeight="1"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row>
    <row r="439" spans="1:28" ht="12.75" customHeight="1"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row>
    <row r="440" spans="1:28" ht="12.75" customHeight="1"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row>
    <row r="441" spans="1:28" ht="12.75" customHeight="1"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row>
    <row r="442" spans="1:28" ht="12.75" customHeight="1"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row>
    <row r="443" spans="1:28" ht="12.75" customHeight="1"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row>
    <row r="444" spans="1:28" ht="12.75" customHeight="1"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row>
    <row r="445" spans="1:28" ht="12.75" customHeight="1"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row>
    <row r="446" spans="1:28" ht="12.75" customHeight="1"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row>
    <row r="447" spans="1:28" ht="12.75" customHeight="1"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row>
    <row r="448" spans="1:28" ht="12.75" customHeight="1"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row>
    <row r="449" spans="1:28" ht="12.75" customHeight="1"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row>
    <row r="450" spans="1:28" ht="12.75" customHeight="1"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row>
    <row r="451" spans="1:28" ht="12.75" customHeight="1"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row>
    <row r="452" spans="1:28" ht="12.75" customHeight="1"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row>
    <row r="453" spans="1:28" ht="12.75" customHeight="1"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row>
    <row r="454" spans="1:28" ht="12.75" customHeight="1"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row>
    <row r="455" spans="1:28" ht="12.75" customHeight="1"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row>
    <row r="456" spans="1:28" ht="12.75" customHeight="1"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row>
    <row r="457" spans="1:28" ht="12.75" customHeight="1"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row>
    <row r="458" spans="1:28" ht="12.75" customHeight="1"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row>
    <row r="459" spans="1:28" ht="12.75" customHeight="1"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row>
    <row r="460" spans="1:28" ht="12.75" customHeight="1"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row>
    <row r="461" spans="1:28" ht="12.75" customHeight="1"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row>
    <row r="462" spans="1:28" ht="12.75" customHeight="1"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row>
    <row r="463" spans="1:28" ht="12.75" customHeight="1"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row>
    <row r="464" spans="1:28" ht="12.75" customHeight="1"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row>
    <row r="465" spans="1:28" ht="12.75" customHeight="1"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row>
    <row r="466" spans="1:28" ht="12.75" customHeight="1"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row>
    <row r="467" spans="1:28" ht="12.75" customHeight="1"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row>
    <row r="468" spans="1:28" ht="12.75" customHeight="1"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row>
    <row r="469" spans="1:28" ht="12.75" customHeight="1"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row>
    <row r="470" spans="1:28" ht="12.75" customHeight="1"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row>
    <row r="471" spans="1:28" ht="12.75" customHeight="1"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row>
    <row r="472" spans="1:28" ht="12.75" customHeight="1"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row>
    <row r="473" spans="1:28" ht="12.75" customHeight="1"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row>
    <row r="474" spans="1:28" ht="12.75" customHeight="1"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row>
    <row r="475" spans="1:28" ht="12.75" customHeight="1"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row>
    <row r="476" spans="1:28" ht="12.75" customHeight="1"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row>
    <row r="477" spans="1:28" ht="12.75" customHeight="1"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row>
    <row r="478" spans="1:28" ht="12.75" customHeight="1"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row>
    <row r="479" spans="1:28" ht="12.75" customHeight="1"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row>
    <row r="480" spans="1:28" ht="12.75" customHeight="1"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row>
    <row r="481" spans="1:28" ht="12.75" customHeight="1"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row>
    <row r="482" spans="1:28" ht="12.75" customHeight="1"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row>
    <row r="483" spans="1:28" ht="12.75" customHeight="1"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row>
    <row r="484" spans="1:28" ht="12.75" customHeight="1"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row>
    <row r="485" spans="1:28" ht="12.75" customHeight="1"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row>
    <row r="486" spans="1:28" ht="12.75" customHeight="1"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row>
    <row r="487" spans="1:28" ht="12.75" customHeight="1"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row>
    <row r="488" spans="1:28" ht="12.75" customHeight="1"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row>
    <row r="489" spans="1:28" ht="12.75" customHeight="1"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row>
    <row r="490" spans="1:28" ht="12.75" customHeight="1"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row>
    <row r="491" spans="1:28" ht="12.75" customHeight="1"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row>
    <row r="492" spans="1:28" ht="12.75" customHeight="1"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row>
    <row r="493" spans="1:28" ht="12.75" customHeight="1"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row>
    <row r="494" spans="1:28" ht="12.75" customHeight="1"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row>
    <row r="495" spans="1:28" ht="12.75" customHeight="1"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row>
    <row r="496" spans="1:28" ht="12.75" customHeight="1"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row>
    <row r="497" spans="1:28" ht="12.75" customHeight="1"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row>
    <row r="498" spans="1:28" ht="12.75" customHeight="1"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row>
    <row r="499" spans="1:28" ht="12.75" customHeight="1"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row>
    <row r="500" spans="1:28" ht="12.75" customHeight="1"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row>
    <row r="501" spans="1:28" ht="12.75" customHeight="1"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row>
    <row r="502" spans="1:28" ht="12.75" customHeight="1"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row>
    <row r="503" spans="1:28" ht="12.75" customHeight="1"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row>
    <row r="504" spans="1:28" ht="12.75" customHeight="1"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row>
    <row r="505" spans="1:28" ht="12.75" customHeight="1"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row>
    <row r="506" spans="1:28" ht="12.75" customHeight="1"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row>
    <row r="507" spans="1:28" ht="12.75" customHeight="1"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row>
    <row r="508" spans="1:28" ht="12.75" customHeight="1"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row>
    <row r="509" spans="1:28" ht="12.75" customHeight="1"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row>
    <row r="510" spans="1:28" ht="12.75" customHeight="1"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row>
    <row r="511" spans="1:28" ht="12.75" customHeight="1"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row>
    <row r="512" spans="1:28" ht="12.75" customHeight="1"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row>
    <row r="513" spans="1:28" ht="12.75" customHeight="1"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row>
    <row r="514" spans="1:28" ht="12.75" customHeight="1"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row>
    <row r="515" spans="1:28" ht="12.75" customHeight="1"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row>
    <row r="516" spans="1:28" ht="12.75" customHeight="1"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row>
    <row r="517" spans="1:28" ht="12.75" customHeight="1"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row>
    <row r="518" spans="1:28" ht="12.75" customHeight="1"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row>
    <row r="519" spans="1:28" ht="12.75" customHeight="1"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row>
    <row r="520" spans="1:28" ht="12.75" customHeight="1"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row>
    <row r="521" spans="1:28" ht="12.75" customHeight="1"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row>
    <row r="522" spans="1:28" ht="12.75" customHeight="1"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row>
    <row r="523" spans="1:28" ht="12.75" customHeight="1"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row>
    <row r="524" spans="1:28" ht="12.75" customHeight="1"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row>
    <row r="525" spans="1:28" ht="12.75" customHeight="1"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row>
    <row r="526" spans="1:28" ht="12.75" customHeight="1"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row>
    <row r="527" spans="1:28" ht="12.75" customHeight="1"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row>
    <row r="528" spans="1:28" ht="12.75" customHeight="1"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row>
    <row r="529" spans="1:28" ht="12.75" customHeight="1"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row>
    <row r="530" spans="1:28" ht="12.75" customHeight="1"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row>
    <row r="531" spans="1:28" ht="12.75" customHeight="1"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row>
    <row r="532" spans="1:28" ht="12.75" customHeight="1"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row>
    <row r="533" spans="1:28" ht="12.75" customHeight="1"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row>
    <row r="534" spans="1:28" ht="12.75" customHeight="1"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row>
    <row r="535" spans="1:28" ht="12.75" customHeight="1"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row>
    <row r="536" spans="1:28" ht="12.75" customHeight="1"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row>
    <row r="537" spans="1:28" ht="12.75" customHeight="1"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row>
    <row r="538" spans="1:28" ht="12.75" customHeight="1"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row>
    <row r="539" spans="1:28" ht="12.75" customHeight="1"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row>
    <row r="540" spans="1:28" ht="12.75" customHeight="1"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row>
    <row r="541" spans="1:28" ht="12.75" customHeight="1"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row>
    <row r="542" spans="1:28" ht="12.75" customHeight="1"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row>
    <row r="543" spans="1:28" ht="12.75" customHeight="1"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row>
    <row r="544" spans="1:28" ht="12.75" customHeight="1"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row>
    <row r="545" spans="1:28" ht="12.75" customHeight="1"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row>
    <row r="546" spans="1:28" ht="12.75" customHeight="1"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row>
    <row r="547" spans="1:28" ht="12.75" customHeight="1"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row>
    <row r="548" spans="1:28" ht="12.75" customHeight="1"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row>
    <row r="549" spans="1:28" ht="12.75" customHeight="1"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row>
    <row r="550" spans="1:28" ht="12.75" customHeight="1"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row>
    <row r="551" spans="1:28" ht="12.75" customHeight="1"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row>
    <row r="552" spans="1:28" ht="12.75" customHeight="1"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row>
    <row r="553" spans="1:28" ht="12.75" customHeight="1"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row>
    <row r="554" spans="1:28" ht="12.75" customHeight="1"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row>
    <row r="555" spans="1:28" ht="12.75" customHeight="1"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row>
    <row r="556" spans="1:28" ht="12.75" customHeight="1"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row>
    <row r="557" spans="1:28" ht="12.75" customHeight="1"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row>
    <row r="558" spans="1:28" ht="12.75" customHeight="1"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row>
    <row r="559" spans="1:28" ht="12.75" customHeight="1"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row>
    <row r="560" spans="1:28" ht="12.75" customHeight="1"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row>
    <row r="561" spans="1:28" ht="12.75" customHeight="1"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row>
    <row r="562" spans="1:28" ht="12.75" customHeight="1"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row>
    <row r="563" spans="1:28" ht="12.75" customHeight="1"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row>
    <row r="564" spans="1:28" ht="12.75" customHeight="1"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row>
    <row r="565" spans="1:28" ht="12.75" customHeight="1"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row>
    <row r="566" spans="1:28" ht="12.75" customHeight="1"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row>
    <row r="567" spans="1:28" ht="12.75" customHeight="1"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row>
    <row r="568" spans="1:28" ht="12.75" customHeight="1"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row>
    <row r="569" spans="1:28" ht="12.75" customHeight="1"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row>
    <row r="570" spans="1:28" ht="12.75" customHeight="1"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row>
    <row r="571" spans="1:28" ht="12.75" customHeight="1"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row>
    <row r="572" spans="1:28" ht="12.75" customHeight="1"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row>
    <row r="573" spans="1:28" ht="12.75" customHeight="1"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row>
    <row r="574" spans="1:28" ht="12.75" customHeight="1"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row>
    <row r="575" spans="1:28" ht="12.75" customHeight="1"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row>
    <row r="576" spans="1:28" ht="12.75" customHeight="1"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row>
    <row r="577" spans="1:28" ht="12.75" customHeight="1"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row>
    <row r="578" spans="1:28" ht="12.75" customHeight="1"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row>
    <row r="579" spans="1:28" ht="12.75" customHeight="1"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row>
    <row r="580" spans="1:28" ht="12.75" customHeight="1"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row>
    <row r="581" spans="1:28" ht="12.75" customHeight="1"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row>
    <row r="582" spans="1:28" ht="12.75" customHeight="1"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row>
    <row r="583" spans="1:28" ht="12.75" customHeight="1"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row>
    <row r="584" spans="1:28" ht="12.75" customHeight="1"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row>
    <row r="585" spans="1:28" ht="12.75" customHeight="1"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row>
    <row r="586" spans="1:28" ht="12.75" customHeight="1"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row>
    <row r="587" spans="1:28" ht="12.75" customHeight="1"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row>
    <row r="588" spans="1:28" ht="12.75" customHeight="1"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row>
    <row r="589" spans="1:28" ht="12.75" customHeight="1"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row>
    <row r="590" spans="1:28" ht="12.75" customHeight="1"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row>
    <row r="591" spans="1:28" ht="12.75" customHeight="1"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row>
    <row r="592" spans="1:28" ht="12.75" customHeight="1"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row>
    <row r="593" spans="1:28" ht="12.75" customHeight="1"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row>
    <row r="594" spans="1:28" ht="12.75" customHeight="1"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row>
    <row r="595" spans="1:28" ht="12.75" customHeight="1"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row>
    <row r="596" spans="1:28" ht="12.75" customHeight="1"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row>
    <row r="597" spans="1:28" ht="12.75" customHeight="1"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row>
    <row r="598" spans="1:28" ht="12.75" customHeight="1"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row>
    <row r="599" spans="1:28" ht="12.75" customHeight="1"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row>
    <row r="600" spans="1:28" ht="12.75" customHeight="1"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row>
    <row r="601" spans="1:28" ht="12.75" customHeight="1"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row>
    <row r="602" spans="1:28" ht="12.75" customHeight="1"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row>
    <row r="603" spans="1:28" ht="12.75" customHeight="1"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row>
    <row r="604" spans="1:28" ht="12.75" customHeight="1"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row>
    <row r="605" spans="1:28" ht="12.75" customHeight="1"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row>
    <row r="606" spans="1:28" ht="12.75" customHeight="1"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row>
    <row r="607" spans="1:28" ht="12.75" customHeight="1"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row>
    <row r="608" spans="1:28" ht="12.75" customHeight="1"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row>
    <row r="609" spans="1:28" ht="12.75" customHeight="1"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row>
    <row r="610" spans="1:28" ht="12.75" customHeight="1"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row>
    <row r="611" spans="1:28" ht="12.75" customHeight="1"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row>
    <row r="612" spans="1:28" ht="12.75" customHeight="1"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row>
    <row r="613" spans="1:28" ht="12.75" customHeight="1"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row>
    <row r="614" spans="1:28" ht="12.75" customHeight="1"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row>
    <row r="615" spans="1:28" ht="12.75" customHeight="1"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row>
    <row r="616" spans="1:28" ht="12.75" customHeight="1"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row>
    <row r="617" spans="1:28" ht="12.75" customHeight="1"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row>
    <row r="618" spans="1:28" ht="12.75" customHeight="1"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row>
    <row r="619" spans="1:28" ht="12.75" customHeight="1"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row>
    <row r="620" spans="1:28" ht="12.75" customHeight="1"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row>
    <row r="621" spans="1:28" ht="12.75" customHeight="1"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row>
    <row r="622" spans="1:28" ht="12.75" customHeight="1"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row>
    <row r="623" spans="1:28" ht="12.75" customHeight="1"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row>
    <row r="624" spans="1:28" ht="12.75" customHeight="1"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row>
    <row r="625" spans="1:28" ht="12.75" customHeight="1"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row>
    <row r="626" spans="1:28" ht="12.75" customHeight="1"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row>
    <row r="627" spans="1:28" ht="12.75" customHeight="1"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row>
    <row r="628" spans="1:28" ht="12.75" customHeight="1"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row>
    <row r="629" spans="1:28" ht="12.75" customHeight="1"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row>
    <row r="630" spans="1:28" ht="12.75" customHeight="1"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row>
    <row r="631" spans="1:28" ht="12.75" customHeight="1"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row>
    <row r="632" spans="1:28" ht="12.75" customHeight="1"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row>
    <row r="633" spans="1:28" ht="12.75" customHeight="1"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row>
    <row r="634" spans="1:28" ht="12.75" customHeight="1"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row>
    <row r="635" spans="1:28" ht="12.75" customHeight="1"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row>
    <row r="636" spans="1:28" ht="12.75" customHeight="1"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row>
    <row r="637" spans="1:28" ht="12.75" customHeight="1"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row>
    <row r="638" spans="1:28" ht="12.75" customHeight="1"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row>
    <row r="639" spans="1:28" ht="12.75" customHeight="1"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row>
    <row r="640" spans="1:28" ht="12.75" customHeight="1"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row>
    <row r="641" spans="1:28" ht="12.75" customHeight="1"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row>
    <row r="642" spans="1:28" ht="12.75" customHeight="1"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row>
    <row r="643" spans="1:28" ht="12.75" customHeight="1"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row>
    <row r="644" spans="1:28" ht="12.75" customHeight="1"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row>
    <row r="645" spans="1:28" ht="12.75" customHeight="1"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row>
    <row r="646" spans="1:28" ht="12.75" customHeight="1"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row>
    <row r="647" spans="1:28" ht="12.75" customHeight="1"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row>
    <row r="648" spans="1:28" ht="12.75" customHeight="1"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row>
    <row r="649" spans="1:28" ht="12.75" customHeight="1"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row>
    <row r="650" spans="1:28" ht="12.75" customHeight="1"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row>
    <row r="651" spans="1:28" ht="12.75" customHeight="1"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row>
    <row r="652" spans="1:28" ht="12.75" customHeight="1"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row>
    <row r="653" spans="1:28" ht="12.75" customHeight="1"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row>
    <row r="654" spans="1:28" ht="12.75" customHeight="1"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row>
    <row r="655" spans="1:28" ht="12.75" customHeight="1"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row>
    <row r="656" spans="1:28" ht="12.75" customHeight="1"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row>
    <row r="657" spans="1:28" ht="12.75" customHeight="1"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row>
    <row r="658" spans="1:28" ht="12.75" customHeight="1"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row>
    <row r="659" spans="1:28" ht="12.75" customHeight="1"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row>
    <row r="660" spans="1:28" ht="12.75" customHeight="1"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row>
    <row r="661" spans="1:28" ht="12.75" customHeight="1"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row>
    <row r="662" spans="1:28" ht="12.75" customHeight="1"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row>
    <row r="663" spans="1:28" ht="12.75" customHeight="1"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row>
    <row r="664" spans="1:28" ht="12.75" customHeight="1"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row>
    <row r="665" spans="1:28" ht="12.75" customHeight="1"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row>
    <row r="666" spans="1:28" ht="12.75" customHeight="1"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row>
    <row r="667" spans="1:28" ht="12.75" customHeight="1"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row>
    <row r="668" spans="1:28" ht="12.75" customHeight="1"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row>
    <row r="669" spans="1:28" ht="12.75" customHeight="1"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row>
    <row r="670" spans="1:28" ht="12.75" customHeight="1"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row>
    <row r="671" spans="1:28" ht="12.75" customHeight="1"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row>
    <row r="672" spans="1:28" ht="12.75" customHeight="1"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row>
    <row r="673" spans="1:28" ht="12.75" customHeight="1"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row>
    <row r="674" spans="1:28" ht="12.75" customHeight="1"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row>
    <row r="675" spans="1:28" ht="12.75" customHeight="1"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row>
    <row r="676" spans="1:28" ht="12.75" customHeight="1"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row>
    <row r="677" spans="1:28" ht="12.75" customHeight="1"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row>
    <row r="678" spans="1:28" ht="12.75" customHeight="1"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row>
    <row r="679" spans="1:28" ht="12.75" customHeight="1"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row>
    <row r="680" spans="1:28" ht="12.75" customHeight="1"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row>
    <row r="681" spans="1:28" ht="12.75" customHeight="1"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row>
    <row r="682" spans="1:28" ht="12.75" customHeight="1"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row>
    <row r="683" spans="1:28" ht="12.75" customHeight="1"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row>
    <row r="684" spans="1:28" ht="12.75" customHeight="1"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row>
    <row r="685" spans="1:28" ht="12.75" customHeight="1"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row>
    <row r="686" spans="1:28" ht="12.75" customHeight="1"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row>
    <row r="687" spans="1:28" ht="12.75" customHeight="1"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row>
    <row r="688" spans="1:28" ht="12.75" customHeight="1"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row>
    <row r="689" spans="1:28" ht="12.75" customHeight="1"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row>
    <row r="690" spans="1:28" ht="12.75" customHeight="1"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row>
    <row r="691" spans="1:28" ht="12.75" customHeight="1"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row>
    <row r="692" spans="1:28" ht="12.75" customHeight="1"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row>
    <row r="693" spans="1:28" ht="12.75" customHeight="1"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row>
    <row r="694" spans="1:28" ht="12.75" customHeight="1"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row>
    <row r="695" spans="1:28" ht="12.75" customHeight="1"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row>
    <row r="696" spans="1:28" ht="12.75" customHeight="1"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row>
    <row r="697" spans="1:28" ht="12.75" customHeight="1"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row>
    <row r="698" spans="1:28" ht="12.75" customHeight="1"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row>
    <row r="699" spans="1:28" ht="12.75" customHeight="1"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row>
    <row r="700" spans="1:28" ht="12.75" customHeight="1"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row>
    <row r="701" spans="1:28" ht="12.75" customHeight="1"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row>
    <row r="702" spans="1:28" ht="12.75" customHeight="1"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row>
    <row r="703" spans="1:28" ht="12.75" customHeight="1"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row>
    <row r="704" spans="1:28" ht="12.75" customHeight="1"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row>
    <row r="705" spans="1:28" ht="12.75" customHeight="1"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row>
    <row r="706" spans="1:28" ht="12.75" customHeight="1"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row>
    <row r="707" spans="1:28" ht="12.75" customHeight="1"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row>
    <row r="708" spans="1:28" ht="12.75" customHeight="1"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row>
    <row r="709" spans="1:28" ht="12.75" customHeight="1"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row>
    <row r="710" spans="1:28" ht="12.75" customHeight="1"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row>
    <row r="711" spans="1:28" ht="12.75" customHeight="1"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row>
    <row r="712" spans="1:28" ht="12.75" customHeight="1"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row>
    <row r="713" spans="1:28" ht="12.75" customHeight="1"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row>
    <row r="714" spans="1:28" ht="12.75" customHeight="1"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row>
    <row r="715" spans="1:28" ht="12.75" customHeight="1"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row>
    <row r="716" spans="1:28" ht="12.75" customHeight="1"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row>
    <row r="717" spans="1:28" ht="12.75" customHeight="1"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row>
    <row r="718" spans="1:28" ht="12.75" customHeight="1"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row>
    <row r="719" spans="1:28" ht="12.75" customHeight="1"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row>
    <row r="720" spans="1:28" ht="12.75" customHeight="1"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row>
    <row r="721" spans="1:28" ht="12.75" customHeight="1"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row>
    <row r="722" spans="1:28" ht="12.75" customHeight="1"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row>
    <row r="723" spans="1:28" ht="12.75" customHeight="1"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row>
    <row r="724" spans="1:28" ht="12.75" customHeight="1"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row>
    <row r="725" spans="1:28" ht="12.75" customHeight="1"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row>
    <row r="726" spans="1:28" ht="12.75" customHeight="1"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row>
    <row r="727" spans="1:28" ht="12.75" customHeight="1"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row>
    <row r="728" spans="1:28" ht="12.75" customHeight="1"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row>
    <row r="729" spans="1:28" ht="12.75" customHeight="1"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row>
    <row r="730" spans="1:28" ht="12.75" customHeight="1"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row>
    <row r="731" spans="1:28" ht="12.75" customHeight="1"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row>
    <row r="732" spans="1:28" ht="12.75" customHeight="1"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row>
    <row r="733" spans="1:28" ht="12.75" customHeight="1"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row>
    <row r="734" spans="1:28" ht="12.75" customHeight="1"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row>
    <row r="735" spans="1:28" ht="12.75" customHeight="1"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row>
    <row r="736" spans="1:28" ht="12.75" customHeight="1"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row>
    <row r="737" spans="1:28" ht="12.75" customHeight="1"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row>
    <row r="738" spans="1:28" ht="12.75" customHeight="1"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row>
    <row r="739" spans="1:28" ht="12.75" customHeight="1"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row>
    <row r="740" spans="1:28" ht="12.75" customHeight="1"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row>
    <row r="741" spans="1:28" ht="12.75" customHeight="1"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row>
    <row r="742" spans="1:28" ht="12.75" customHeight="1"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row>
    <row r="743" spans="1:28" ht="12.75" customHeight="1"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row>
    <row r="744" spans="1:28" ht="12.75" customHeight="1"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row>
    <row r="745" spans="1:28" ht="12.75" customHeight="1"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row>
    <row r="746" spans="1:28" ht="12.75" customHeight="1"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row>
    <row r="747" spans="1:28" ht="12.75" customHeight="1"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row>
    <row r="748" spans="1:28" ht="12.75" customHeight="1"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row>
    <row r="749" spans="1:28" ht="12.75" customHeight="1"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row>
    <row r="750" spans="1:28" ht="12.75" customHeight="1"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row>
    <row r="751" spans="1:28" ht="12.75" customHeight="1"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row>
    <row r="752" spans="1:28" ht="12.75" customHeight="1"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row>
    <row r="753" spans="1:28" ht="12.75" customHeight="1"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row>
    <row r="754" spans="1:28" ht="12.75" customHeight="1"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row>
    <row r="755" spans="1:28" ht="12.75" customHeight="1"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row>
    <row r="756" spans="1:28" ht="12.75" customHeight="1"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row>
    <row r="757" spans="1:28" ht="12.75" customHeight="1"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row>
    <row r="758" spans="1:28" ht="12.75" customHeight="1"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row>
    <row r="759" spans="1:28" ht="12.75" customHeight="1"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row>
    <row r="760" spans="1:28" ht="12.75" customHeight="1"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row>
    <row r="761" spans="1:28" ht="12.75" customHeight="1"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row>
    <row r="762" spans="1:28" ht="12.75" customHeight="1"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row>
    <row r="763" spans="1:28" ht="12.75" customHeight="1"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row>
    <row r="764" spans="1:28" ht="12.75" customHeight="1"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row>
    <row r="765" spans="1:28" ht="12.75" customHeight="1"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row>
    <row r="766" spans="1:28" ht="12.75" customHeight="1"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row>
    <row r="767" spans="1:28" ht="12.75" customHeight="1"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row>
    <row r="768" spans="1:28" ht="12.75" customHeight="1"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row>
    <row r="769" spans="1:28" ht="12.75" customHeight="1"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row>
    <row r="770" spans="1:28" ht="12.75" customHeight="1"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row>
    <row r="771" spans="1:28" ht="12.75" customHeight="1"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row>
    <row r="772" spans="1:28" ht="12.75" customHeight="1"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row>
    <row r="773" spans="1:28" ht="12.75" customHeight="1"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row>
    <row r="774" spans="1:28" ht="12.75" customHeight="1"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row>
    <row r="775" spans="1:28" ht="12.75" customHeight="1"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row>
    <row r="776" spans="1:28" ht="12.75" customHeight="1"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row>
    <row r="777" spans="1:28" ht="12.75" customHeight="1"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row>
    <row r="778" spans="1:28" ht="12.75" customHeight="1"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row>
    <row r="779" spans="1:28" ht="12.75" customHeight="1"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row>
    <row r="780" spans="1:28" ht="12.75" customHeight="1"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row>
    <row r="781" spans="1:28" ht="12.75" customHeight="1"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row>
    <row r="782" spans="1:28" ht="12.75" customHeight="1"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row>
    <row r="783" spans="1:28" ht="12.75" customHeight="1"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row>
    <row r="784" spans="1:28" ht="12.75" customHeight="1"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row>
    <row r="785" spans="1:28" ht="12.75" customHeight="1"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row>
    <row r="786" spans="1:28" ht="12.75" customHeight="1"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row>
    <row r="787" spans="1:28" ht="12.75" customHeight="1"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row>
    <row r="788" spans="1:28" ht="12.75" customHeight="1"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row>
    <row r="789" spans="1:28" ht="12.75" customHeight="1"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row>
    <row r="790" spans="1:28" ht="12.75" customHeight="1"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row>
    <row r="791" spans="1:28" ht="12.75" customHeight="1"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row>
    <row r="792" spans="1:28" ht="12.75" customHeight="1"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row>
    <row r="793" spans="1:28" ht="12.75" customHeight="1"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row>
    <row r="794" spans="1:28" ht="12.75" customHeight="1"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row>
    <row r="795" spans="1:28" ht="12.75" customHeight="1"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row>
    <row r="796" spans="1:28" ht="12.75" customHeight="1"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row>
    <row r="797" spans="1:28" ht="12.75" customHeight="1"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row>
    <row r="798" spans="1:28" ht="12.75" customHeight="1"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row>
    <row r="799" spans="1:28" ht="12.75" customHeight="1"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row>
    <row r="800" spans="1:28" ht="12.75" customHeight="1"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row>
    <row r="801" spans="1:28" ht="12.75" customHeight="1"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row>
    <row r="802" spans="1:28" ht="12.75" customHeight="1"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row>
    <row r="803" spans="1:28" ht="12.75" customHeight="1"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row>
    <row r="804" spans="1:28" ht="12.75" customHeight="1"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row>
    <row r="805" spans="1:28" ht="12.75" customHeight="1"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row>
    <row r="806" spans="1:28" ht="12.75" customHeight="1"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row>
    <row r="807" spans="1:28" ht="12.75" customHeight="1"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row>
    <row r="808" spans="1:28" ht="12.75" customHeight="1"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row>
    <row r="809" spans="1:28" ht="12.75" customHeight="1"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row>
    <row r="810" spans="1:28" ht="12.75" customHeight="1"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row>
    <row r="811" spans="1:28" ht="12.75" customHeight="1"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row>
    <row r="812" spans="1:28" ht="12.75" customHeight="1"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row>
    <row r="813" spans="1:28" ht="12.75" customHeight="1"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row>
    <row r="814" spans="1:28" ht="12.75" customHeight="1"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row>
    <row r="815" spans="1:28" ht="12.75" customHeight="1"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row>
    <row r="816" spans="1:28" ht="12.75" customHeight="1"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row>
    <row r="817" spans="1:28" ht="12.75" customHeight="1"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row>
    <row r="818" spans="1:28" ht="12.75" customHeight="1"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row>
    <row r="819" spans="1:28" ht="12.75" customHeight="1"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row>
    <row r="820" spans="1:28" ht="12.75" customHeight="1"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row>
    <row r="821" spans="1:28" ht="12.75" customHeight="1"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row>
    <row r="822" spans="1:28" ht="12.75" customHeight="1"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row>
    <row r="823" spans="1:28" ht="12.75" customHeight="1"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row>
    <row r="824" spans="1:28" ht="12.75" customHeight="1"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row>
    <row r="825" spans="1:28" ht="12.75" customHeight="1"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row>
    <row r="826" spans="1:28" ht="12.75" customHeight="1"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row>
    <row r="827" spans="1:28" ht="12.75" customHeight="1"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row>
    <row r="828" spans="1:28" ht="12.75" customHeight="1"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row>
    <row r="829" spans="1:28" ht="12.75" customHeight="1"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row>
    <row r="830" spans="1:28" ht="12.75" customHeight="1"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row>
    <row r="831" spans="1:28" ht="12.75" customHeight="1"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row>
    <row r="832" spans="1:28" ht="12.75" customHeight="1"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row>
    <row r="833" spans="1:28" ht="12.75" customHeight="1"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row>
    <row r="834" spans="1:28" ht="12.75" customHeight="1"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row>
    <row r="835" spans="1:28" ht="12.75" customHeight="1"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row>
    <row r="836" spans="1:28" ht="12.75" customHeight="1"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row>
    <row r="837" spans="1:28" ht="12.75" customHeight="1"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row>
    <row r="838" spans="1:28" ht="12.75" customHeight="1"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row>
    <row r="839" spans="1:28" ht="12.75" customHeight="1"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row>
    <row r="840" spans="1:28" ht="12.75" customHeight="1"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row>
    <row r="841" spans="1:28" ht="12.75" customHeight="1"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row>
    <row r="842" spans="1:28" ht="12.75" customHeight="1"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row>
    <row r="843" spans="1:28" ht="12.75" customHeight="1"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row>
    <row r="844" spans="1:28" ht="12.75" customHeight="1"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row>
    <row r="845" spans="1:28" ht="12.75" customHeight="1"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row>
    <row r="846" spans="1:28" ht="12.75" customHeight="1"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row>
    <row r="847" spans="1:28" ht="12.75" customHeight="1"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row>
    <row r="848" spans="1:28" ht="12.75" customHeight="1"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row>
    <row r="849" spans="1:28" ht="12.75" customHeight="1"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row>
    <row r="850" spans="1:28" ht="12.75" customHeight="1"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row>
    <row r="851" spans="1:28" ht="12.75" customHeight="1"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row>
    <row r="852" spans="1:28" ht="12.75" customHeight="1"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row>
    <row r="853" spans="1:28" ht="12.75" customHeight="1"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row>
    <row r="854" spans="1:28" ht="12.75" customHeight="1"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row>
    <row r="855" spans="1:28" ht="12.75" customHeight="1"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row>
    <row r="856" spans="1:28" ht="12.75" customHeight="1"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row>
    <row r="857" spans="1:28" ht="12.75" customHeight="1"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row>
    <row r="858" spans="1:28" ht="12.75" customHeight="1"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row>
    <row r="859" spans="1:28" ht="12.75" customHeight="1"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row>
    <row r="860" spans="1:28" ht="12.75" customHeight="1"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row>
    <row r="861" spans="1:28" ht="12.75" customHeight="1"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row>
    <row r="862" spans="1:28" ht="12.75" customHeight="1"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row>
    <row r="863" spans="1:28" ht="12.75" customHeight="1"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row>
    <row r="864" spans="1:28" ht="12.75" customHeight="1"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row>
    <row r="865" spans="1:28" ht="12.75" customHeight="1"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row>
    <row r="866" spans="1:28" ht="12.75" customHeight="1"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row>
    <row r="867" spans="1:28" ht="12.75" customHeight="1"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row>
    <row r="868" spans="1:28" ht="12.75" customHeight="1"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row>
    <row r="869" spans="1:28" ht="12.75" customHeight="1"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row>
    <row r="870" spans="1:28" ht="12.75" customHeight="1"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row>
    <row r="871" spans="1:28" ht="12.75" customHeight="1"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row>
    <row r="872" spans="1:28" ht="12.75" customHeight="1"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row>
    <row r="873" spans="1:28" ht="12.75" customHeight="1"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row>
    <row r="874" spans="1:28" ht="12.75" customHeight="1"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row>
    <row r="875" spans="1:28" ht="12.75" customHeight="1"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row>
    <row r="876" spans="1:28" ht="12.75" customHeight="1"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row>
    <row r="877" spans="1:28" ht="12.75" customHeight="1"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row>
    <row r="878" spans="1:28" ht="12.75" customHeight="1"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row>
    <row r="879" spans="1:28" ht="12.75" customHeight="1"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row>
    <row r="880" spans="1:28" ht="12.75" customHeight="1"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row>
    <row r="881" spans="1:28" ht="12.75" customHeight="1"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row>
    <row r="882" spans="1:28" ht="12.75" customHeight="1"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row>
    <row r="883" spans="1:28" ht="12.75" customHeight="1"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row>
    <row r="884" spans="1:28" ht="12.75" customHeight="1"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row>
    <row r="885" spans="1:28" ht="12.75" customHeight="1"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row>
    <row r="886" spans="1:28" ht="12.75" customHeight="1"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row>
    <row r="887" spans="1:28" ht="12.75" customHeight="1"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row>
    <row r="888" spans="1:28" ht="12.75" customHeight="1"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row>
    <row r="889" spans="1:28" ht="12.75" customHeight="1"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row>
    <row r="890" spans="1:28" ht="12.75" customHeight="1"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row>
    <row r="891" spans="1:28" ht="12.75" customHeight="1"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row>
    <row r="892" spans="1:28" ht="12.75" customHeight="1"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row>
    <row r="893" spans="1:28" ht="12.75" customHeight="1"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row>
    <row r="894" spans="1:28" ht="12.75" customHeight="1"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row>
    <row r="895" spans="1:28" ht="12.75" customHeight="1"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row>
    <row r="896" spans="1:28" ht="12.75" customHeight="1"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row>
    <row r="897" spans="1:28" ht="12.75" customHeight="1"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row>
    <row r="898" spans="1:28" ht="12.75" customHeight="1"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row>
    <row r="899" spans="1:28" ht="12.75" customHeight="1"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row>
    <row r="900" spans="1:28" ht="12.75" customHeight="1"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row>
    <row r="901" spans="1:28" ht="12.75" customHeight="1"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row>
    <row r="902" spans="1:28" ht="12.75" customHeight="1"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row>
    <row r="903" spans="1:28" ht="12.75" customHeight="1"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row>
    <row r="904" spans="1:28" ht="12.75" customHeight="1"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row>
    <row r="905" spans="1:28" ht="12.75" customHeight="1"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row>
    <row r="906" spans="1:28" ht="12.75" customHeight="1"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row>
    <row r="907" spans="1:28" ht="12.75" customHeight="1"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row>
    <row r="908" spans="1:28" ht="12.75" customHeight="1"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row>
    <row r="909" spans="1:28" ht="12.75" customHeight="1"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row>
    <row r="910" spans="1:28" ht="12.75" customHeight="1"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row>
    <row r="911" spans="1:28" ht="12.75" customHeight="1"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row>
    <row r="912" spans="1:28" ht="12.75" customHeight="1"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row>
    <row r="913" spans="1:28" ht="12.75" customHeight="1"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row>
    <row r="914" spans="1:28" ht="12.75" customHeight="1"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row>
    <row r="915" spans="1:28" ht="12.75" customHeight="1"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row>
    <row r="916" spans="1:28" ht="12.75" customHeight="1"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row>
    <row r="917" spans="1:28" ht="12.75" customHeight="1"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row>
    <row r="918" spans="1:28" ht="12.75" customHeight="1"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row>
    <row r="919" spans="1:28" ht="12.75" customHeight="1"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row>
    <row r="920" spans="1:28" ht="12.75" customHeight="1"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row>
    <row r="921" spans="1:28" ht="12.75" customHeight="1"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row>
    <row r="922" spans="1:28" ht="12.75" customHeight="1"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row>
    <row r="923" spans="1:28" ht="12.75" customHeight="1"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row>
    <row r="924" spans="1:28" ht="12.75" customHeight="1"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row>
    <row r="925" spans="1:28" ht="12.75" customHeight="1"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row>
    <row r="926" spans="1:28" ht="12.75" customHeight="1"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row>
    <row r="927" spans="1:28" ht="12.75" customHeight="1"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row>
    <row r="928" spans="1:28" ht="12.75" customHeight="1"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row>
    <row r="929" spans="1:28" ht="12.75" customHeight="1"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row>
    <row r="930" spans="1:28" ht="12.75" customHeight="1"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row>
    <row r="931" spans="1:28" ht="12.75" customHeight="1"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row>
    <row r="932" spans="1:28" ht="12.75" customHeight="1"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row>
    <row r="933" spans="1:28" ht="12.75" customHeight="1"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row>
    <row r="934" spans="1:28" ht="12.75" customHeight="1"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row>
    <row r="935" spans="1:28" ht="12.75" customHeight="1"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row>
    <row r="936" spans="1:28" ht="12.75" customHeight="1"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row>
    <row r="937" spans="1:28" ht="12.75" customHeight="1"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row>
    <row r="938" spans="1:28" ht="12.75" customHeight="1"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row>
    <row r="939" spans="1:28" ht="15" customHeight="1" x14ac:dyDescent="0.2">
      <c r="A939" s="49"/>
      <c r="B939" s="49"/>
      <c r="C939" s="49"/>
      <c r="D939" s="49"/>
      <c r="E939" s="49"/>
      <c r="F939" s="49"/>
      <c r="G939" s="49"/>
      <c r="H939" s="49"/>
      <c r="I939" s="49"/>
    </row>
    <row r="940" spans="1:28" ht="15" customHeight="1" x14ac:dyDescent="0.2">
      <c r="A940" s="49"/>
      <c r="B940" s="49"/>
      <c r="C940" s="49"/>
      <c r="D940" s="49"/>
      <c r="E940" s="49"/>
      <c r="F940" s="49"/>
      <c r="G940" s="49"/>
      <c r="H940" s="49"/>
      <c r="I940" s="49"/>
    </row>
    <row r="941" spans="1:28" ht="15" customHeight="1" x14ac:dyDescent="0.2">
      <c r="A941" s="49"/>
      <c r="B941" s="49"/>
      <c r="C941" s="49"/>
      <c r="D941" s="49"/>
      <c r="E941" s="49"/>
      <c r="F941" s="49"/>
      <c r="G941" s="49"/>
      <c r="H941" s="49"/>
      <c r="I941" s="49"/>
    </row>
    <row r="942" spans="1:28" ht="15" customHeight="1" x14ac:dyDescent="0.2">
      <c r="A942" s="49"/>
      <c r="B942" s="49"/>
      <c r="C942" s="49"/>
      <c r="D942" s="49"/>
      <c r="E942" s="49"/>
      <c r="F942" s="49"/>
      <c r="G942" s="49"/>
      <c r="H942" s="49"/>
      <c r="I942" s="49"/>
    </row>
    <row r="943" spans="1:28" ht="15" customHeight="1" x14ac:dyDescent="0.2">
      <c r="A943" s="49"/>
      <c r="B943" s="49"/>
      <c r="C943" s="49"/>
      <c r="D943" s="49"/>
      <c r="E943" s="49"/>
      <c r="F943" s="49"/>
      <c r="G943" s="49"/>
      <c r="H943" s="49"/>
      <c r="I943" s="49"/>
    </row>
    <row r="944" spans="1:28" ht="15" customHeight="1" x14ac:dyDescent="0.2">
      <c r="A944" s="49"/>
      <c r="B944" s="49"/>
      <c r="C944" s="49"/>
      <c r="D944" s="49"/>
      <c r="E944" s="49"/>
      <c r="F944" s="49"/>
      <c r="G944" s="49"/>
      <c r="H944" s="49"/>
      <c r="I944" s="49"/>
    </row>
    <row r="945" spans="1:9" ht="15" customHeight="1" x14ac:dyDescent="0.2">
      <c r="A945" s="49"/>
      <c r="B945" s="49"/>
      <c r="C945" s="49"/>
      <c r="D945" s="49"/>
      <c r="E945" s="49"/>
      <c r="F945" s="49"/>
      <c r="G945" s="49"/>
      <c r="H945" s="49"/>
      <c r="I945" s="49"/>
    </row>
    <row r="946" spans="1:9" ht="15" customHeight="1" x14ac:dyDescent="0.2">
      <c r="A946" s="49"/>
      <c r="B946" s="49"/>
      <c r="C946" s="49"/>
      <c r="D946" s="49"/>
      <c r="E946" s="49"/>
      <c r="F946" s="49"/>
      <c r="G946" s="49"/>
      <c r="H946" s="49"/>
      <c r="I946" s="49"/>
    </row>
    <row r="947" spans="1:9" ht="15" customHeight="1" x14ac:dyDescent="0.2">
      <c r="A947" s="49"/>
      <c r="B947" s="49"/>
      <c r="C947" s="49"/>
      <c r="D947" s="49"/>
      <c r="E947" s="49"/>
      <c r="F947" s="49"/>
      <c r="G947" s="49"/>
      <c r="H947" s="49"/>
      <c r="I947" s="49"/>
    </row>
    <row r="948" spans="1:9" ht="15" customHeight="1" x14ac:dyDescent="0.2">
      <c r="A948" s="49"/>
      <c r="B948" s="49"/>
      <c r="C948" s="49"/>
      <c r="D948" s="49"/>
      <c r="E948" s="49"/>
      <c r="F948" s="49"/>
      <c r="G948" s="49"/>
      <c r="H948" s="49"/>
      <c r="I948" s="49"/>
    </row>
    <row r="949" spans="1:9" ht="15" customHeight="1" x14ac:dyDescent="0.2">
      <c r="A949" s="49"/>
      <c r="B949" s="49"/>
      <c r="C949" s="49"/>
      <c r="D949" s="49"/>
      <c r="E949" s="49"/>
      <c r="F949" s="49"/>
      <c r="G949" s="49"/>
      <c r="H949" s="49"/>
      <c r="I949" s="49"/>
    </row>
  </sheetData>
  <dataConsolidate/>
  <mergeCells count="3">
    <mergeCell ref="A19:F19"/>
    <mergeCell ref="A9:F9"/>
    <mergeCell ref="A28:F28"/>
  </mergeCells>
  <phoneticPr fontId="25" type="noConversion"/>
  <dataValidations count="2">
    <dataValidation type="list" allowBlank="1" showInputMessage="1" showErrorMessage="1" prompt=" - " sqref="F7 F31:F74" xr:uid="{AE9F8267-1C73-4D64-8A91-F5705CF03C70}">
      <formula1>#REF!</formula1>
    </dataValidation>
    <dataValidation type="list" allowBlank="1" showInputMessage="1" showErrorMessage="1" sqref="H10:H30" xr:uid="{5BAD0B0F-B3F3-478B-B60E-B3BA75B38593}">
      <formula1>"'Pass,'Fail,'Untest,'N/A"</formula1>
    </dataValidation>
  </dataValidations>
  <hyperlinks>
    <hyperlink ref="B2" location="null!A1" display="Back to TestReport" xr:uid="{FAFC3DB8-DD67-4337-AAD1-278A4EA2BAD4}"/>
  </hyperlinks>
  <pageMargins left="0.7" right="0.7" top="0.75" bottom="0.75" header="0" footer="0"/>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4247E-563B-4869-939B-C53EA4F7A5A3}">
  <sheetPr>
    <outlinePr summaryBelow="0" summaryRight="0"/>
  </sheetPr>
  <dimension ref="A1:Z989"/>
  <sheetViews>
    <sheetView tabSelected="1" zoomScale="85" zoomScaleNormal="85" workbookViewId="0">
      <pane xSplit="1" ySplit="8" topLeftCell="B25" activePane="bottomRight" state="frozen"/>
      <selection pane="topRight" activeCell="B1" sqref="B1"/>
      <selection pane="bottomLeft" activeCell="A9" sqref="A9"/>
      <selection pane="bottomRight" activeCell="D5" sqref="D5"/>
    </sheetView>
  </sheetViews>
  <sheetFormatPr defaultColWidth="12.625" defaultRowHeight="13.5" x14ac:dyDescent="0.15"/>
  <cols>
    <col min="1" max="1" width="15.375" customWidth="1"/>
    <col min="2" max="2" width="23.875" bestFit="1" customWidth="1"/>
    <col min="3" max="3" width="22.75" customWidth="1"/>
    <col min="4" max="4" width="20.125" customWidth="1"/>
    <col min="5" max="5" width="21.25" customWidth="1"/>
    <col min="6" max="6" width="33.5" customWidth="1"/>
    <col min="7" max="7" width="9.875" customWidth="1"/>
    <col min="8" max="8" width="15.75" bestFit="1" customWidth="1"/>
    <col min="9" max="9" width="9.75" customWidth="1"/>
    <col min="10" max="15" width="9" customWidth="1"/>
    <col min="16" max="22" width="8" customWidth="1"/>
    <col min="23" max="26" width="15.125" customWidth="1"/>
  </cols>
  <sheetData>
    <row r="1" spans="1:26" ht="15" thickBot="1" x14ac:dyDescent="0.25">
      <c r="A1" s="47"/>
      <c r="B1" s="48"/>
      <c r="C1" s="48"/>
      <c r="D1" s="48"/>
      <c r="E1" s="48"/>
      <c r="F1" s="48"/>
      <c r="G1" s="47"/>
      <c r="H1" s="47"/>
      <c r="I1" s="48"/>
      <c r="J1" s="48"/>
      <c r="K1" s="48"/>
      <c r="L1" s="48"/>
      <c r="M1" s="48"/>
      <c r="N1" s="48"/>
      <c r="O1" s="48"/>
      <c r="P1" s="48"/>
      <c r="Q1" s="48"/>
      <c r="R1" s="48"/>
      <c r="S1" s="48"/>
      <c r="T1" s="48"/>
      <c r="U1" s="48"/>
      <c r="V1" s="48"/>
      <c r="W1" s="49"/>
      <c r="X1" s="49"/>
      <c r="Y1" s="49"/>
    </row>
    <row r="2" spans="1:26" ht="14.25" x14ac:dyDescent="0.2">
      <c r="A2" s="50"/>
      <c r="B2" s="51" t="s">
        <v>22</v>
      </c>
      <c r="C2" s="51" t="str">
        <f>HYPERLINK("#'Test case List'!A1","Test case List")</f>
        <v>Test case List</v>
      </c>
      <c r="D2" s="50"/>
      <c r="E2" s="50"/>
      <c r="F2" s="50"/>
      <c r="G2" s="61" t="s">
        <v>23</v>
      </c>
      <c r="H2" s="62">
        <f>COUNTIF($A$10:$A$855, "TC*")</f>
        <v>36</v>
      </c>
      <c r="I2" s="50"/>
      <c r="J2" s="50"/>
      <c r="K2" s="50"/>
      <c r="L2" s="50"/>
      <c r="M2" s="50"/>
      <c r="N2" s="50"/>
      <c r="O2" s="50"/>
      <c r="P2" s="50"/>
      <c r="Q2" s="50"/>
      <c r="R2" s="50"/>
      <c r="S2" s="50"/>
      <c r="T2" s="50"/>
      <c r="U2" s="50"/>
      <c r="V2" s="50"/>
      <c r="W2" s="12"/>
      <c r="X2" s="12"/>
      <c r="Y2" s="12"/>
      <c r="Z2" s="12"/>
    </row>
    <row r="3" spans="1:26" ht="14.25" x14ac:dyDescent="0.2">
      <c r="A3" s="50"/>
      <c r="B3" s="52" t="s">
        <v>24</v>
      </c>
      <c r="C3" s="82" t="s">
        <v>63</v>
      </c>
      <c r="D3" s="50"/>
      <c r="E3" s="50"/>
      <c r="F3" s="50"/>
      <c r="G3" s="63" t="s">
        <v>25</v>
      </c>
      <c r="H3" s="64">
        <f>(COUNTIF(H10:H54,"Pass"))</f>
        <v>24</v>
      </c>
      <c r="I3" s="50"/>
      <c r="J3" s="50"/>
      <c r="K3" s="50"/>
      <c r="L3" s="50"/>
      <c r="M3" s="50"/>
      <c r="N3" s="50"/>
      <c r="O3" s="50"/>
      <c r="P3" s="50"/>
      <c r="Q3" s="50"/>
      <c r="R3" s="50"/>
      <c r="S3" s="50"/>
      <c r="T3" s="50"/>
      <c r="U3" s="50"/>
      <c r="V3" s="50"/>
      <c r="W3" s="12"/>
      <c r="X3" s="12"/>
      <c r="Y3" s="12"/>
      <c r="Z3" s="12"/>
    </row>
    <row r="4" spans="1:26" ht="15" thickBot="1" x14ac:dyDescent="0.25">
      <c r="A4" s="50"/>
      <c r="B4" s="53" t="s">
        <v>26</v>
      </c>
      <c r="C4" s="54" t="s">
        <v>37</v>
      </c>
      <c r="D4" s="50"/>
      <c r="E4" s="50"/>
      <c r="F4" s="50"/>
      <c r="G4" s="63" t="s">
        <v>27</v>
      </c>
      <c r="H4" s="64">
        <f>(COUNTIF(H10:H54,"Fail"))</f>
        <v>12</v>
      </c>
      <c r="I4" s="50"/>
      <c r="J4" s="50"/>
      <c r="K4" s="50"/>
      <c r="L4" s="50"/>
      <c r="M4" s="50"/>
      <c r="N4" s="50"/>
      <c r="O4" s="50"/>
      <c r="P4" s="50"/>
      <c r="Q4" s="50"/>
      <c r="R4" s="50"/>
      <c r="S4" s="50"/>
      <c r="T4" s="50"/>
      <c r="U4" s="50"/>
      <c r="V4" s="50"/>
      <c r="W4" s="12"/>
      <c r="X4" s="12"/>
      <c r="Y4" s="12"/>
      <c r="Z4" s="12"/>
    </row>
    <row r="5" spans="1:26" ht="15" thickBot="1" x14ac:dyDescent="0.25">
      <c r="A5" s="50"/>
      <c r="B5" s="55"/>
      <c r="C5" s="55"/>
      <c r="D5" s="50"/>
      <c r="E5" s="50"/>
      <c r="F5" s="50"/>
      <c r="G5" s="63" t="s">
        <v>28</v>
      </c>
      <c r="H5" s="64">
        <f>(COUNTIF(H10:H54,"Untest"))</f>
        <v>0</v>
      </c>
      <c r="I5" s="50"/>
      <c r="J5" s="50"/>
      <c r="K5" s="50"/>
      <c r="L5" s="50"/>
      <c r="M5" s="50"/>
      <c r="N5" s="50"/>
      <c r="O5" s="50"/>
      <c r="P5" s="50"/>
      <c r="Q5" s="50"/>
      <c r="R5" s="50"/>
      <c r="S5" s="50"/>
      <c r="T5" s="50"/>
      <c r="U5" s="50"/>
      <c r="V5" s="50"/>
      <c r="W5" s="12"/>
      <c r="X5" s="12"/>
      <c r="Y5" s="12"/>
      <c r="Z5" s="12"/>
    </row>
    <row r="6" spans="1:26" ht="15" thickBot="1" x14ac:dyDescent="0.25">
      <c r="A6" s="55"/>
      <c r="B6" s="56" t="s">
        <v>29</v>
      </c>
      <c r="C6" s="57" t="str">
        <f>ROUND((H3 / (H2-H6))*100,2)&amp;"%"</f>
        <v>66.67%</v>
      </c>
      <c r="D6" s="50"/>
      <c r="E6" s="50"/>
      <c r="F6" s="50"/>
      <c r="G6" s="84" t="s">
        <v>30</v>
      </c>
      <c r="H6" s="85">
        <f>(COUNTIF(H10:H54,"N/A"))</f>
        <v>0</v>
      </c>
      <c r="I6" s="50"/>
      <c r="J6" s="50"/>
      <c r="K6" s="50"/>
      <c r="L6" s="50"/>
      <c r="M6" s="50"/>
      <c r="N6" s="50"/>
      <c r="O6" s="50"/>
      <c r="P6" s="50"/>
      <c r="Q6" s="50"/>
      <c r="R6" s="50"/>
      <c r="S6" s="50"/>
      <c r="T6" s="50"/>
      <c r="U6" s="50"/>
      <c r="V6" s="50"/>
      <c r="W6" s="12"/>
      <c r="X6" s="12"/>
      <c r="Y6" s="12"/>
      <c r="Z6" s="12"/>
    </row>
    <row r="7" spans="1:26" ht="14.25" x14ac:dyDescent="0.2">
      <c r="A7" s="58"/>
      <c r="B7" s="58"/>
      <c r="C7" s="58"/>
      <c r="D7" s="59"/>
      <c r="E7" s="59"/>
      <c r="F7" s="60"/>
      <c r="G7" s="60"/>
      <c r="H7" s="60"/>
      <c r="I7" s="58"/>
      <c r="J7" s="58"/>
      <c r="K7" s="58"/>
      <c r="L7" s="58"/>
      <c r="M7" s="58"/>
      <c r="N7" s="58"/>
      <c r="O7" s="58"/>
      <c r="P7" s="58"/>
      <c r="Q7" s="58"/>
      <c r="R7" s="58"/>
      <c r="S7" s="58"/>
      <c r="T7" s="58"/>
      <c r="U7" s="58"/>
      <c r="V7" s="58"/>
      <c r="W7" s="49"/>
      <c r="X7" s="49"/>
      <c r="Y7" s="49"/>
      <c r="Z7" s="49"/>
    </row>
    <row r="8" spans="1:26" ht="15" x14ac:dyDescent="0.25">
      <c r="A8" s="107" t="s">
        <v>31</v>
      </c>
      <c r="B8" s="108" t="s">
        <v>32</v>
      </c>
      <c r="C8" s="109" t="s">
        <v>21</v>
      </c>
      <c r="D8" s="108" t="s">
        <v>14</v>
      </c>
      <c r="E8" s="109" t="s">
        <v>33</v>
      </c>
      <c r="F8" s="108" t="s">
        <v>34</v>
      </c>
      <c r="G8" s="110" t="s">
        <v>35</v>
      </c>
      <c r="H8" s="111" t="s">
        <v>64</v>
      </c>
      <c r="I8" s="111" t="s">
        <v>36</v>
      </c>
      <c r="J8" s="58"/>
      <c r="K8" s="58"/>
      <c r="L8" s="58"/>
      <c r="M8" s="58"/>
      <c r="N8" s="58"/>
      <c r="O8" s="58"/>
      <c r="P8" s="58"/>
      <c r="Q8" s="58"/>
      <c r="R8" s="58"/>
      <c r="S8" s="58"/>
      <c r="T8" s="58"/>
      <c r="U8" s="58"/>
      <c r="V8" s="58"/>
      <c r="W8" s="58"/>
      <c r="X8" s="58"/>
      <c r="Y8" s="49"/>
      <c r="Z8" s="49"/>
    </row>
    <row r="9" spans="1:26" ht="15" x14ac:dyDescent="0.2">
      <c r="A9" s="184" t="s">
        <v>85</v>
      </c>
      <c r="B9" s="185"/>
      <c r="C9" s="185"/>
      <c r="D9" s="185"/>
      <c r="E9" s="185"/>
      <c r="F9" s="185"/>
      <c r="G9" s="185"/>
      <c r="H9" s="185"/>
      <c r="I9" s="105"/>
      <c r="J9" s="86"/>
      <c r="K9" s="86"/>
      <c r="L9" s="86"/>
      <c r="M9" s="86"/>
      <c r="N9" s="86"/>
      <c r="O9" s="86"/>
      <c r="P9" s="86"/>
      <c r="Q9" s="86"/>
      <c r="R9" s="86"/>
      <c r="S9" s="86"/>
      <c r="T9" s="86"/>
      <c r="U9" s="86"/>
      <c r="V9" s="86"/>
      <c r="W9" s="86"/>
      <c r="X9" s="86"/>
      <c r="Y9" s="49"/>
      <c r="Z9" s="49"/>
    </row>
    <row r="10" spans="1:26" ht="60" customHeight="1" x14ac:dyDescent="0.2">
      <c r="A10" s="104" t="s">
        <v>118</v>
      </c>
      <c r="B10" s="104" t="s">
        <v>121</v>
      </c>
      <c r="C10" s="104" t="s">
        <v>1128</v>
      </c>
      <c r="D10" s="104" t="s">
        <v>1137</v>
      </c>
      <c r="E10" s="104" t="s">
        <v>133</v>
      </c>
      <c r="F10" s="104" t="s">
        <v>1127</v>
      </c>
      <c r="G10" s="104"/>
      <c r="H10" s="104" t="s">
        <v>25</v>
      </c>
      <c r="I10" s="104"/>
      <c r="J10" s="8"/>
      <c r="K10" s="8"/>
      <c r="L10" s="8"/>
      <c r="M10" s="8"/>
      <c r="N10" s="8"/>
      <c r="O10" s="8"/>
      <c r="P10" s="8"/>
      <c r="Q10" s="8"/>
      <c r="R10" s="8"/>
      <c r="S10" s="8"/>
      <c r="T10" s="8"/>
      <c r="U10" s="8"/>
      <c r="V10" s="8"/>
      <c r="W10" s="49"/>
      <c r="X10" s="49"/>
      <c r="Y10" s="49"/>
      <c r="Z10" s="49"/>
    </row>
    <row r="11" spans="1:26" ht="60" customHeight="1" x14ac:dyDescent="0.2">
      <c r="A11" s="104" t="s">
        <v>120</v>
      </c>
      <c r="B11" s="104" t="s">
        <v>220</v>
      </c>
      <c r="C11" s="104" t="s">
        <v>1129</v>
      </c>
      <c r="D11" s="104" t="s">
        <v>1137</v>
      </c>
      <c r="E11" s="104" t="s">
        <v>144</v>
      </c>
      <c r="F11" s="104" t="s">
        <v>134</v>
      </c>
      <c r="G11" s="104"/>
      <c r="H11" s="104" t="s">
        <v>25</v>
      </c>
      <c r="I11" s="104"/>
      <c r="J11" s="8"/>
      <c r="K11" s="8"/>
      <c r="L11" s="8"/>
      <c r="M11" s="8"/>
      <c r="N11" s="8"/>
      <c r="O11" s="8"/>
      <c r="P11" s="8"/>
      <c r="Q11" s="8"/>
      <c r="R11" s="8"/>
      <c r="S11" s="8"/>
      <c r="T11" s="8"/>
      <c r="U11" s="8"/>
      <c r="V11" s="8"/>
      <c r="W11" s="49"/>
      <c r="X11" s="49"/>
      <c r="Y11" s="49"/>
      <c r="Z11" s="49"/>
    </row>
    <row r="12" spans="1:26" ht="60" customHeight="1" x14ac:dyDescent="0.2">
      <c r="A12" s="104" t="s">
        <v>122</v>
      </c>
      <c r="B12" s="104" t="s">
        <v>203</v>
      </c>
      <c r="C12" s="104" t="s">
        <v>1130</v>
      </c>
      <c r="D12" s="104" t="s">
        <v>1137</v>
      </c>
      <c r="E12" s="104" t="s">
        <v>1037</v>
      </c>
      <c r="F12" s="104" t="s">
        <v>761</v>
      </c>
      <c r="G12" s="104"/>
      <c r="H12" s="104" t="s">
        <v>25</v>
      </c>
      <c r="I12" s="104"/>
      <c r="J12" s="73"/>
      <c r="K12" s="73"/>
      <c r="L12" s="73"/>
      <c r="M12" s="73"/>
      <c r="N12" s="73"/>
      <c r="O12" s="73"/>
      <c r="P12" s="73"/>
      <c r="Q12" s="73"/>
      <c r="R12" s="73"/>
      <c r="S12" s="73"/>
      <c r="T12" s="73"/>
      <c r="U12" s="73"/>
      <c r="V12" s="73"/>
      <c r="W12" s="49"/>
      <c r="X12" s="49"/>
      <c r="Y12" s="49"/>
      <c r="Z12" s="49"/>
    </row>
    <row r="13" spans="1:26" ht="60" customHeight="1" x14ac:dyDescent="0.2">
      <c r="A13" s="104" t="s">
        <v>123</v>
      </c>
      <c r="B13" s="104" t="s">
        <v>213</v>
      </c>
      <c r="C13" s="104" t="s">
        <v>1131</v>
      </c>
      <c r="D13" s="104" t="s">
        <v>1138</v>
      </c>
      <c r="E13" s="104" t="s">
        <v>141</v>
      </c>
      <c r="F13" s="104" t="s">
        <v>140</v>
      </c>
      <c r="G13" s="104"/>
      <c r="H13" s="104" t="s">
        <v>25</v>
      </c>
      <c r="I13" s="104"/>
      <c r="J13" s="8"/>
      <c r="K13" s="8"/>
      <c r="L13" s="8"/>
      <c r="M13" s="8"/>
      <c r="N13" s="8"/>
      <c r="O13" s="8"/>
      <c r="P13" s="8"/>
      <c r="Q13" s="8"/>
      <c r="R13" s="8"/>
      <c r="S13" s="8"/>
      <c r="T13" s="8"/>
      <c r="U13" s="8"/>
      <c r="V13" s="8"/>
      <c r="W13" s="8"/>
      <c r="X13" s="8"/>
      <c r="Y13" s="49"/>
      <c r="Z13" s="49"/>
    </row>
    <row r="14" spans="1:26" ht="60" customHeight="1" x14ac:dyDescent="0.2">
      <c r="A14" s="104" t="s">
        <v>125</v>
      </c>
      <c r="B14" s="104" t="s">
        <v>214</v>
      </c>
      <c r="C14" s="104" t="s">
        <v>1131</v>
      </c>
      <c r="D14" s="104" t="s">
        <v>1137</v>
      </c>
      <c r="E14" s="104" t="s">
        <v>142</v>
      </c>
      <c r="F14" s="104" t="s">
        <v>135</v>
      </c>
      <c r="G14" s="104"/>
      <c r="H14" s="104" t="s">
        <v>25</v>
      </c>
      <c r="I14" s="104"/>
      <c r="J14" s="73"/>
      <c r="K14" s="73"/>
      <c r="L14" s="73"/>
      <c r="M14" s="73"/>
      <c r="N14" s="73"/>
      <c r="O14" s="73"/>
      <c r="P14" s="73"/>
      <c r="Q14" s="73"/>
      <c r="R14" s="73"/>
      <c r="S14" s="73"/>
      <c r="T14" s="73"/>
      <c r="U14" s="73"/>
      <c r="V14" s="73"/>
      <c r="W14" s="49"/>
      <c r="X14" s="49"/>
      <c r="Y14" s="49"/>
      <c r="Z14" s="49"/>
    </row>
    <row r="15" spans="1:26" ht="60" customHeight="1" x14ac:dyDescent="0.2">
      <c r="A15" s="104" t="s">
        <v>126</v>
      </c>
      <c r="B15" s="104" t="s">
        <v>1047</v>
      </c>
      <c r="C15" s="104" t="s">
        <v>1131</v>
      </c>
      <c r="D15" s="104" t="s">
        <v>1138</v>
      </c>
      <c r="E15" s="104" t="s">
        <v>1039</v>
      </c>
      <c r="F15" s="104" t="s">
        <v>166</v>
      </c>
      <c r="G15" s="104"/>
      <c r="H15" s="104" t="s">
        <v>27</v>
      </c>
      <c r="I15" s="104"/>
      <c r="J15" s="132"/>
      <c r="K15" s="73"/>
      <c r="L15" s="73"/>
      <c r="M15" s="73"/>
      <c r="N15" s="73"/>
      <c r="O15" s="73"/>
      <c r="P15" s="73"/>
      <c r="Q15" s="73"/>
      <c r="R15" s="73"/>
      <c r="S15" s="73"/>
      <c r="T15" s="73"/>
      <c r="U15" s="73"/>
      <c r="V15" s="73"/>
      <c r="W15" s="49"/>
      <c r="X15" s="49"/>
      <c r="Y15" s="49"/>
      <c r="Z15" s="49"/>
    </row>
    <row r="16" spans="1:26" ht="60" customHeight="1" x14ac:dyDescent="0.2">
      <c r="A16" s="104" t="s">
        <v>127</v>
      </c>
      <c r="B16" s="104" t="s">
        <v>215</v>
      </c>
      <c r="C16" s="104" t="s">
        <v>1131</v>
      </c>
      <c r="D16" s="104" t="s">
        <v>1137</v>
      </c>
      <c r="E16" s="104" t="s">
        <v>1038</v>
      </c>
      <c r="F16" s="104" t="s">
        <v>1127</v>
      </c>
      <c r="G16" s="104"/>
      <c r="H16" s="104" t="s">
        <v>25</v>
      </c>
      <c r="I16" s="104"/>
      <c r="J16" s="73"/>
      <c r="K16" s="73"/>
      <c r="L16" s="73"/>
      <c r="M16" s="73"/>
      <c r="N16" s="73"/>
      <c r="O16" s="73"/>
      <c r="P16" s="73"/>
      <c r="Q16" s="73"/>
      <c r="R16" s="73"/>
      <c r="S16" s="73"/>
      <c r="T16" s="73"/>
      <c r="U16" s="73"/>
      <c r="V16" s="73"/>
      <c r="W16" s="49"/>
      <c r="X16" s="49"/>
      <c r="Y16" s="49"/>
      <c r="Z16" s="49"/>
    </row>
    <row r="17" spans="1:26" ht="60" customHeight="1" x14ac:dyDescent="0.2">
      <c r="A17" s="104" t="s">
        <v>128</v>
      </c>
      <c r="B17" s="104" t="s">
        <v>216</v>
      </c>
      <c r="C17" s="104" t="s">
        <v>1131</v>
      </c>
      <c r="D17" s="104" t="s">
        <v>1137</v>
      </c>
      <c r="E17" s="104" t="s">
        <v>1040</v>
      </c>
      <c r="F17" s="104" t="s">
        <v>1127</v>
      </c>
      <c r="G17" s="104"/>
      <c r="H17" s="104" t="s">
        <v>25</v>
      </c>
      <c r="I17" s="104"/>
      <c r="J17" s="73"/>
      <c r="K17" s="73"/>
      <c r="L17" s="73"/>
      <c r="M17" s="73"/>
      <c r="N17" s="73"/>
      <c r="O17" s="73"/>
      <c r="P17" s="73"/>
      <c r="Q17" s="73"/>
      <c r="R17" s="73"/>
      <c r="S17" s="73"/>
      <c r="T17" s="73"/>
      <c r="U17" s="73"/>
      <c r="V17" s="73"/>
      <c r="W17" s="49"/>
      <c r="X17" s="49"/>
      <c r="Y17" s="49"/>
      <c r="Z17" s="49"/>
    </row>
    <row r="18" spans="1:26" ht="60" customHeight="1" x14ac:dyDescent="0.2">
      <c r="A18" s="104" t="s">
        <v>130</v>
      </c>
      <c r="B18" s="104" t="s">
        <v>1048</v>
      </c>
      <c r="C18" s="104" t="s">
        <v>1131</v>
      </c>
      <c r="D18" s="104" t="s">
        <v>1138</v>
      </c>
      <c r="E18" s="104" t="s">
        <v>1041</v>
      </c>
      <c r="F18" s="104" t="s">
        <v>166</v>
      </c>
      <c r="G18" s="104"/>
      <c r="H18" s="104" t="s">
        <v>27</v>
      </c>
      <c r="I18" s="104"/>
      <c r="J18" s="132"/>
      <c r="K18" s="73"/>
      <c r="L18" s="73"/>
      <c r="M18" s="73"/>
      <c r="N18" s="73"/>
      <c r="O18" s="73"/>
      <c r="P18" s="73"/>
      <c r="Q18" s="73"/>
      <c r="R18" s="73"/>
      <c r="S18" s="73"/>
      <c r="T18" s="73"/>
      <c r="U18" s="73"/>
      <c r="V18" s="73"/>
      <c r="W18" s="49"/>
      <c r="X18" s="49"/>
      <c r="Y18" s="49"/>
      <c r="Z18" s="49"/>
    </row>
    <row r="19" spans="1:26" ht="60" customHeight="1" x14ac:dyDescent="0.2">
      <c r="A19" s="104" t="s">
        <v>131</v>
      </c>
      <c r="B19" s="104" t="s">
        <v>169</v>
      </c>
      <c r="C19" s="104" t="s">
        <v>1131</v>
      </c>
      <c r="D19" s="104" t="s">
        <v>1138</v>
      </c>
      <c r="E19" s="104" t="s">
        <v>1042</v>
      </c>
      <c r="F19" s="104" t="s">
        <v>140</v>
      </c>
      <c r="G19" s="104"/>
      <c r="H19" s="104" t="s">
        <v>27</v>
      </c>
      <c r="I19" s="104"/>
      <c r="J19" s="73"/>
      <c r="K19" s="73"/>
      <c r="L19" s="73"/>
      <c r="M19" s="73"/>
      <c r="N19" s="73"/>
      <c r="O19" s="73"/>
      <c r="P19" s="73"/>
      <c r="Q19" s="73"/>
      <c r="R19" s="73"/>
      <c r="S19" s="73"/>
      <c r="T19" s="73"/>
      <c r="U19" s="73"/>
      <c r="V19" s="73"/>
      <c r="W19" s="49"/>
      <c r="X19" s="49"/>
      <c r="Y19" s="49"/>
      <c r="Z19" s="49"/>
    </row>
    <row r="20" spans="1:26" ht="60" customHeight="1" x14ac:dyDescent="0.2">
      <c r="A20" s="104" t="s">
        <v>132</v>
      </c>
      <c r="B20" s="104" t="s">
        <v>171</v>
      </c>
      <c r="C20" s="104" t="s">
        <v>1131</v>
      </c>
      <c r="D20" s="104" t="s">
        <v>1138</v>
      </c>
      <c r="E20" s="104" t="s">
        <v>1043</v>
      </c>
      <c r="F20" s="104" t="s">
        <v>172</v>
      </c>
      <c r="G20" s="104"/>
      <c r="H20" s="104" t="s">
        <v>27</v>
      </c>
      <c r="I20" s="104"/>
      <c r="J20" s="132"/>
      <c r="K20" s="73"/>
      <c r="L20" s="73"/>
      <c r="M20" s="73"/>
      <c r="N20" s="73"/>
      <c r="O20" s="73"/>
      <c r="P20" s="73"/>
      <c r="Q20" s="73"/>
      <c r="R20" s="73"/>
      <c r="S20" s="73"/>
      <c r="T20" s="73"/>
      <c r="U20" s="73"/>
      <c r="V20" s="73"/>
      <c r="W20" s="49"/>
      <c r="X20" s="49"/>
      <c r="Y20" s="49"/>
      <c r="Z20" s="49"/>
    </row>
    <row r="21" spans="1:26" ht="60" customHeight="1" x14ac:dyDescent="0.2">
      <c r="A21" s="104" t="s">
        <v>154</v>
      </c>
      <c r="B21" s="104" t="s">
        <v>222</v>
      </c>
      <c r="C21" s="104" t="s">
        <v>1131</v>
      </c>
      <c r="D21" s="104" t="s">
        <v>1138</v>
      </c>
      <c r="E21" s="104" t="s">
        <v>1044</v>
      </c>
      <c r="F21" s="104" t="s">
        <v>172</v>
      </c>
      <c r="G21" s="104"/>
      <c r="H21" s="104" t="s">
        <v>27</v>
      </c>
      <c r="I21" s="104"/>
      <c r="J21" s="132"/>
      <c r="K21" s="73"/>
      <c r="L21" s="73"/>
      <c r="M21" s="73"/>
      <c r="N21" s="73"/>
      <c r="O21" s="73"/>
      <c r="P21" s="73"/>
      <c r="Q21" s="73"/>
      <c r="R21" s="73"/>
      <c r="S21" s="73"/>
      <c r="T21" s="73"/>
      <c r="U21" s="73"/>
      <c r="V21" s="73"/>
      <c r="W21" s="49"/>
      <c r="X21" s="49"/>
      <c r="Y21" s="49"/>
      <c r="Z21" s="49"/>
    </row>
    <row r="22" spans="1:26" ht="60" customHeight="1" x14ac:dyDescent="0.2">
      <c r="A22" s="104" t="s">
        <v>155</v>
      </c>
      <c r="B22" s="104" t="s">
        <v>124</v>
      </c>
      <c r="C22" s="104" t="s">
        <v>1128</v>
      </c>
      <c r="D22" s="104" t="s">
        <v>1137</v>
      </c>
      <c r="E22" s="104" t="s">
        <v>138</v>
      </c>
      <c r="F22" s="104" t="s">
        <v>137</v>
      </c>
      <c r="G22" s="104"/>
      <c r="H22" s="104" t="s">
        <v>25</v>
      </c>
      <c r="I22" s="104"/>
      <c r="J22" s="8"/>
      <c r="K22" s="8"/>
      <c r="L22" s="8"/>
      <c r="M22" s="8"/>
      <c r="N22" s="8"/>
      <c r="O22" s="8"/>
      <c r="P22" s="8"/>
      <c r="Q22" s="8"/>
      <c r="R22" s="8"/>
      <c r="S22" s="8"/>
      <c r="T22" s="8"/>
      <c r="U22" s="8"/>
      <c r="V22" s="8"/>
      <c r="W22" s="49"/>
      <c r="X22" s="49"/>
      <c r="Y22" s="49"/>
      <c r="Z22" s="49"/>
    </row>
    <row r="23" spans="1:26" ht="60" customHeight="1" x14ac:dyDescent="0.2">
      <c r="A23" s="104" t="s">
        <v>156</v>
      </c>
      <c r="B23" s="104" t="s">
        <v>129</v>
      </c>
      <c r="C23" s="104" t="s">
        <v>1131</v>
      </c>
      <c r="D23" s="104" t="s">
        <v>1135</v>
      </c>
      <c r="E23" s="104" t="s">
        <v>139</v>
      </c>
      <c r="F23" s="104" t="s">
        <v>140</v>
      </c>
      <c r="G23" s="104"/>
      <c r="H23" s="104" t="s">
        <v>25</v>
      </c>
      <c r="I23" s="104"/>
      <c r="J23" s="73"/>
      <c r="K23" s="73"/>
      <c r="L23" s="73"/>
      <c r="M23" s="73"/>
      <c r="N23" s="73"/>
      <c r="O23" s="73"/>
      <c r="P23" s="73"/>
      <c r="Q23" s="73"/>
      <c r="R23" s="73"/>
      <c r="S23" s="73"/>
      <c r="T23" s="73"/>
      <c r="U23" s="73"/>
      <c r="V23" s="73"/>
      <c r="W23" s="49"/>
      <c r="X23" s="49"/>
      <c r="Y23" s="49"/>
      <c r="Z23" s="49"/>
    </row>
    <row r="24" spans="1:26" ht="60" customHeight="1" x14ac:dyDescent="0.2">
      <c r="A24" s="104" t="s">
        <v>157</v>
      </c>
      <c r="B24" s="104" t="s">
        <v>221</v>
      </c>
      <c r="C24" s="104" t="s">
        <v>1131</v>
      </c>
      <c r="D24" s="104" t="s">
        <v>1137</v>
      </c>
      <c r="E24" s="104" t="s">
        <v>143</v>
      </c>
      <c r="F24" s="104" t="s">
        <v>137</v>
      </c>
      <c r="G24" s="104"/>
      <c r="H24" s="104" t="s">
        <v>25</v>
      </c>
      <c r="I24" s="104"/>
      <c r="J24" s="73"/>
      <c r="K24" s="73"/>
      <c r="L24" s="73"/>
      <c r="M24" s="73"/>
      <c r="N24" s="73"/>
      <c r="O24" s="73"/>
      <c r="P24" s="73"/>
      <c r="Q24" s="73"/>
      <c r="R24" s="73"/>
      <c r="S24" s="73"/>
      <c r="T24" s="73"/>
      <c r="U24" s="73"/>
      <c r="V24" s="73"/>
      <c r="W24" s="49"/>
      <c r="X24" s="49"/>
      <c r="Y24" s="49"/>
      <c r="Z24" s="49"/>
    </row>
    <row r="25" spans="1:26" ht="60" customHeight="1" x14ac:dyDescent="0.2">
      <c r="A25" s="104" t="s">
        <v>164</v>
      </c>
      <c r="B25" s="104" t="s">
        <v>217</v>
      </c>
      <c r="C25" s="104" t="s">
        <v>1131</v>
      </c>
      <c r="D25" s="104" t="s">
        <v>1137</v>
      </c>
      <c r="E25" s="104" t="s">
        <v>1045</v>
      </c>
      <c r="F25" s="104" t="s">
        <v>1127</v>
      </c>
      <c r="G25" s="104"/>
      <c r="H25" s="104" t="s">
        <v>25</v>
      </c>
      <c r="I25" s="104"/>
      <c r="J25" s="73"/>
      <c r="K25" s="73"/>
      <c r="L25" s="73"/>
      <c r="M25" s="73"/>
      <c r="N25" s="73"/>
      <c r="O25" s="73"/>
      <c r="P25" s="73"/>
      <c r="Q25" s="73"/>
      <c r="R25" s="73"/>
      <c r="S25" s="73"/>
      <c r="T25" s="73"/>
      <c r="U25" s="73"/>
      <c r="V25" s="73"/>
      <c r="W25" s="49"/>
      <c r="X25" s="49"/>
      <c r="Y25" s="49"/>
      <c r="Z25" s="49"/>
    </row>
    <row r="26" spans="1:26" ht="60" customHeight="1" x14ac:dyDescent="0.2">
      <c r="A26" s="104" t="s">
        <v>167</v>
      </c>
      <c r="B26" s="104" t="s">
        <v>218</v>
      </c>
      <c r="C26" s="104" t="s">
        <v>1131</v>
      </c>
      <c r="D26" s="104" t="s">
        <v>1138</v>
      </c>
      <c r="E26" s="104" t="s">
        <v>1046</v>
      </c>
      <c r="F26" s="104" t="s">
        <v>1049</v>
      </c>
      <c r="G26" s="104"/>
      <c r="H26" s="104" t="s">
        <v>27</v>
      </c>
      <c r="I26" s="104"/>
      <c r="J26" s="132"/>
      <c r="K26" s="73"/>
      <c r="L26" s="73"/>
      <c r="M26" s="73"/>
      <c r="N26" s="73"/>
      <c r="O26" s="73"/>
      <c r="P26" s="73"/>
      <c r="Q26" s="73"/>
      <c r="R26" s="73"/>
      <c r="S26" s="73"/>
      <c r="T26" s="73"/>
      <c r="U26" s="73"/>
      <c r="V26" s="73"/>
      <c r="W26" s="49"/>
      <c r="X26" s="49"/>
      <c r="Y26" s="49"/>
      <c r="Z26" s="49"/>
    </row>
    <row r="27" spans="1:26" ht="60" customHeight="1" x14ac:dyDescent="0.2">
      <c r="A27" s="104" t="s">
        <v>168</v>
      </c>
      <c r="B27" s="104" t="s">
        <v>177</v>
      </c>
      <c r="C27" s="104" t="s">
        <v>1131</v>
      </c>
      <c r="D27" s="104" t="s">
        <v>1137</v>
      </c>
      <c r="E27" s="104" t="s">
        <v>178</v>
      </c>
      <c r="F27" s="104" t="s">
        <v>1049</v>
      </c>
      <c r="G27" s="104"/>
      <c r="H27" s="104" t="s">
        <v>27</v>
      </c>
      <c r="I27" s="104"/>
      <c r="J27" s="132"/>
      <c r="K27" s="73"/>
      <c r="L27" s="73"/>
      <c r="M27" s="73"/>
      <c r="N27" s="73"/>
      <c r="O27" s="73"/>
      <c r="P27" s="73"/>
      <c r="Q27" s="73"/>
      <c r="R27" s="73"/>
      <c r="S27" s="73"/>
      <c r="T27" s="73"/>
      <c r="U27" s="73"/>
      <c r="V27" s="73"/>
      <c r="W27" s="49"/>
      <c r="X27" s="49"/>
      <c r="Y27" s="49"/>
      <c r="Z27" s="49"/>
    </row>
    <row r="28" spans="1:26" ht="60" customHeight="1" x14ac:dyDescent="0.2">
      <c r="A28" s="104" t="s">
        <v>170</v>
      </c>
      <c r="B28" s="104" t="s">
        <v>180</v>
      </c>
      <c r="C28" s="104" t="s">
        <v>1131</v>
      </c>
      <c r="D28" s="104" t="s">
        <v>1137</v>
      </c>
      <c r="E28" s="104" t="s">
        <v>181</v>
      </c>
      <c r="F28" s="104" t="s">
        <v>1049</v>
      </c>
      <c r="G28" s="104"/>
      <c r="H28" s="104" t="s">
        <v>27</v>
      </c>
      <c r="I28" s="104"/>
      <c r="J28" s="132"/>
      <c r="K28" s="73"/>
      <c r="L28" s="73"/>
      <c r="M28" s="73"/>
      <c r="N28" s="73"/>
      <c r="O28" s="73"/>
      <c r="P28" s="73"/>
      <c r="Q28" s="73"/>
      <c r="R28" s="73"/>
      <c r="S28" s="73"/>
      <c r="T28" s="73"/>
      <c r="U28" s="73"/>
      <c r="V28" s="73"/>
      <c r="W28" s="49"/>
      <c r="X28" s="49"/>
      <c r="Y28" s="49"/>
      <c r="Z28" s="49"/>
    </row>
    <row r="29" spans="1:26" ht="60" customHeight="1" x14ac:dyDescent="0.2">
      <c r="A29" s="104" t="s">
        <v>173</v>
      </c>
      <c r="B29" s="104" t="s">
        <v>183</v>
      </c>
      <c r="C29" s="104" t="s">
        <v>1131</v>
      </c>
      <c r="D29" s="104" t="s">
        <v>1137</v>
      </c>
      <c r="E29" s="104" t="s">
        <v>184</v>
      </c>
      <c r="F29" s="104" t="s">
        <v>1049</v>
      </c>
      <c r="G29" s="104"/>
      <c r="H29" s="104" t="s">
        <v>27</v>
      </c>
      <c r="I29" s="104"/>
      <c r="J29" s="132"/>
      <c r="K29" s="73"/>
      <c r="L29" s="73"/>
      <c r="M29" s="73"/>
      <c r="N29" s="73"/>
      <c r="O29" s="73"/>
      <c r="P29" s="73"/>
      <c r="Q29" s="73"/>
      <c r="R29" s="73"/>
      <c r="S29" s="73"/>
      <c r="T29" s="73"/>
      <c r="U29" s="73"/>
      <c r="V29" s="73"/>
      <c r="W29" s="49"/>
      <c r="X29" s="49"/>
      <c r="Y29" s="49"/>
      <c r="Z29" s="49"/>
    </row>
    <row r="30" spans="1:26" ht="60" customHeight="1" x14ac:dyDescent="0.2">
      <c r="A30" s="104" t="s">
        <v>174</v>
      </c>
      <c r="B30" s="104" t="s">
        <v>206</v>
      </c>
      <c r="C30" s="104" t="s">
        <v>1132</v>
      </c>
      <c r="D30" s="104" t="s">
        <v>219</v>
      </c>
      <c r="E30" s="104"/>
      <c r="F30" s="104" t="s">
        <v>207</v>
      </c>
      <c r="G30" s="104"/>
      <c r="H30" s="104" t="s">
        <v>27</v>
      </c>
      <c r="I30" s="104"/>
      <c r="J30" s="132"/>
      <c r="K30" s="73"/>
      <c r="L30" s="73"/>
      <c r="M30" s="73"/>
      <c r="N30" s="73"/>
      <c r="O30" s="73"/>
      <c r="P30" s="73"/>
      <c r="Q30" s="73"/>
      <c r="R30" s="73"/>
      <c r="S30" s="73"/>
      <c r="T30" s="73"/>
      <c r="U30" s="73"/>
      <c r="V30" s="73"/>
      <c r="W30" s="49"/>
      <c r="X30" s="49"/>
      <c r="Y30" s="49"/>
      <c r="Z30" s="49"/>
    </row>
    <row r="31" spans="1:26" ht="60" customHeight="1" x14ac:dyDescent="0.2">
      <c r="A31" s="104" t="s">
        <v>175</v>
      </c>
      <c r="B31" s="104" t="s">
        <v>209</v>
      </c>
      <c r="C31" s="104" t="s">
        <v>1132</v>
      </c>
      <c r="D31" s="104" t="s">
        <v>1139</v>
      </c>
      <c r="E31" s="104"/>
      <c r="F31" s="104" t="s">
        <v>210</v>
      </c>
      <c r="G31" s="104"/>
      <c r="H31" s="104" t="s">
        <v>27</v>
      </c>
      <c r="I31" s="104"/>
      <c r="J31" s="132"/>
      <c r="K31" s="73"/>
      <c r="L31" s="73"/>
      <c r="M31" s="73"/>
      <c r="N31" s="73"/>
      <c r="O31" s="73"/>
      <c r="P31" s="73"/>
      <c r="Q31" s="73"/>
      <c r="R31" s="73"/>
      <c r="S31" s="73"/>
      <c r="T31" s="73"/>
      <c r="U31" s="73"/>
      <c r="V31" s="73"/>
      <c r="W31" s="49"/>
      <c r="X31" s="49"/>
      <c r="Y31" s="49"/>
      <c r="Z31" s="49"/>
    </row>
    <row r="32" spans="1:26" ht="15" customHeight="1" x14ac:dyDescent="0.2">
      <c r="A32" s="184" t="s">
        <v>86</v>
      </c>
      <c r="B32" s="185"/>
      <c r="C32" s="185"/>
      <c r="D32" s="185"/>
      <c r="E32" s="185"/>
      <c r="F32" s="185"/>
      <c r="G32" s="185"/>
      <c r="H32" s="185"/>
      <c r="I32" s="106"/>
      <c r="J32" s="86"/>
      <c r="K32" s="86"/>
      <c r="L32" s="86"/>
      <c r="M32" s="86"/>
      <c r="N32" s="86"/>
      <c r="O32" s="86"/>
      <c r="P32" s="86"/>
      <c r="Q32" s="86"/>
      <c r="R32" s="86"/>
      <c r="S32" s="86"/>
      <c r="T32" s="86"/>
      <c r="U32" s="86"/>
      <c r="V32" s="86"/>
      <c r="W32" s="86"/>
      <c r="X32" s="86"/>
      <c r="Y32" s="49"/>
      <c r="Z32" s="49"/>
    </row>
    <row r="33" spans="1:26" ht="60" customHeight="1" x14ac:dyDescent="0.2">
      <c r="A33" s="104" t="s">
        <v>176</v>
      </c>
      <c r="B33" s="104" t="s">
        <v>119</v>
      </c>
      <c r="C33" s="104" t="s">
        <v>1131</v>
      </c>
      <c r="D33" s="104" t="s">
        <v>1136</v>
      </c>
      <c r="E33" s="104" t="s">
        <v>70</v>
      </c>
      <c r="F33" s="104" t="s">
        <v>145</v>
      </c>
      <c r="G33" s="104"/>
      <c r="H33" s="104" t="s">
        <v>25</v>
      </c>
      <c r="I33" s="104" t="s">
        <v>108</v>
      </c>
      <c r="J33" s="8"/>
      <c r="K33" s="8"/>
      <c r="L33" s="8"/>
      <c r="M33" s="8"/>
      <c r="N33" s="8"/>
      <c r="O33" s="8"/>
      <c r="P33" s="8"/>
      <c r="Q33" s="8"/>
      <c r="R33" s="8"/>
      <c r="S33" s="8"/>
      <c r="T33" s="8"/>
      <c r="U33" s="8"/>
      <c r="V33" s="8"/>
      <c r="W33" s="49"/>
      <c r="X33" s="49"/>
      <c r="Y33" s="49"/>
      <c r="Z33" s="49"/>
    </row>
    <row r="34" spans="1:26" ht="60" customHeight="1" x14ac:dyDescent="0.2">
      <c r="A34" s="104" t="s">
        <v>179</v>
      </c>
      <c r="B34" s="104" t="s">
        <v>148</v>
      </c>
      <c r="C34" s="104" t="s">
        <v>1131</v>
      </c>
      <c r="D34" s="104" t="s">
        <v>1140</v>
      </c>
      <c r="E34" s="104" t="s">
        <v>70</v>
      </c>
      <c r="F34" s="104" t="s">
        <v>1127</v>
      </c>
      <c r="G34" s="104"/>
      <c r="H34" s="104" t="s">
        <v>25</v>
      </c>
      <c r="I34" s="104" t="s">
        <v>733</v>
      </c>
      <c r="J34" s="8"/>
      <c r="K34" s="8"/>
      <c r="L34" s="8"/>
      <c r="M34" s="8"/>
      <c r="N34" s="8"/>
      <c r="O34" s="8"/>
      <c r="P34" s="8"/>
      <c r="Q34" s="8"/>
      <c r="R34" s="8"/>
      <c r="S34" s="8"/>
      <c r="T34" s="8"/>
      <c r="U34" s="8"/>
      <c r="V34" s="8"/>
      <c r="W34" s="49"/>
      <c r="X34" s="49"/>
      <c r="Y34" s="49"/>
      <c r="Z34" s="49"/>
    </row>
    <row r="35" spans="1:26" ht="60" customHeight="1" x14ac:dyDescent="0.2">
      <c r="A35" s="104" t="s">
        <v>182</v>
      </c>
      <c r="B35" s="104" t="s">
        <v>149</v>
      </c>
      <c r="C35" s="104" t="s">
        <v>1131</v>
      </c>
      <c r="D35" s="104" t="s">
        <v>1141</v>
      </c>
      <c r="E35" s="104" t="s">
        <v>70</v>
      </c>
      <c r="F35" s="104" t="s">
        <v>151</v>
      </c>
      <c r="G35" s="104"/>
      <c r="H35" s="104" t="s">
        <v>25</v>
      </c>
      <c r="I35" s="104" t="s">
        <v>733</v>
      </c>
      <c r="J35" s="8"/>
      <c r="K35" s="8"/>
      <c r="L35" s="8"/>
      <c r="M35" s="8"/>
      <c r="N35" s="8"/>
      <c r="O35" s="8"/>
      <c r="P35" s="8"/>
      <c r="Q35" s="8"/>
      <c r="R35" s="8"/>
      <c r="S35" s="8"/>
      <c r="T35" s="8"/>
      <c r="U35" s="8"/>
      <c r="V35" s="8"/>
      <c r="W35" s="49"/>
      <c r="X35" s="49"/>
      <c r="Y35" s="49"/>
      <c r="Z35" s="49"/>
    </row>
    <row r="36" spans="1:26" ht="60" customHeight="1" x14ac:dyDescent="0.2">
      <c r="A36" s="104" t="s">
        <v>185</v>
      </c>
      <c r="B36" s="104" t="s">
        <v>150</v>
      </c>
      <c r="C36" s="104" t="s">
        <v>1131</v>
      </c>
      <c r="D36" s="104" t="s">
        <v>136</v>
      </c>
      <c r="E36" s="104"/>
      <c r="F36" s="104" t="s">
        <v>146</v>
      </c>
      <c r="G36" s="104"/>
      <c r="H36" s="104" t="s">
        <v>25</v>
      </c>
      <c r="I36" s="104" t="s">
        <v>733</v>
      </c>
      <c r="J36" s="8"/>
      <c r="K36" s="8"/>
      <c r="L36" s="8"/>
      <c r="M36" s="8"/>
      <c r="N36" s="8"/>
      <c r="O36" s="8"/>
      <c r="P36" s="8"/>
      <c r="Q36" s="8"/>
      <c r="R36" s="8"/>
      <c r="S36" s="8"/>
      <c r="T36" s="8"/>
      <c r="U36" s="8"/>
      <c r="V36" s="8"/>
      <c r="W36" s="49"/>
      <c r="X36" s="49"/>
      <c r="Y36" s="49"/>
      <c r="Z36" s="49"/>
    </row>
    <row r="37" spans="1:26" ht="60" customHeight="1" x14ac:dyDescent="0.2">
      <c r="A37" s="104" t="s">
        <v>186</v>
      </c>
      <c r="B37" s="104" t="s">
        <v>162</v>
      </c>
      <c r="C37" s="104" t="s">
        <v>147</v>
      </c>
      <c r="D37" s="104" t="s">
        <v>163</v>
      </c>
      <c r="E37" s="104"/>
      <c r="F37" s="104" t="s">
        <v>1050</v>
      </c>
      <c r="G37" s="104"/>
      <c r="H37" s="104" t="s">
        <v>25</v>
      </c>
      <c r="I37" s="104"/>
      <c r="J37" s="8"/>
      <c r="K37" s="8"/>
      <c r="L37" s="8"/>
      <c r="M37" s="8"/>
      <c r="N37" s="8"/>
      <c r="O37" s="8"/>
      <c r="P37" s="8"/>
      <c r="Q37" s="8"/>
      <c r="R37" s="8"/>
      <c r="S37" s="8"/>
      <c r="T37" s="8"/>
      <c r="U37" s="8"/>
      <c r="V37" s="8"/>
      <c r="W37" s="49"/>
      <c r="X37" s="49"/>
      <c r="Y37" s="49"/>
      <c r="Z37" s="49"/>
    </row>
    <row r="38" spans="1:26" ht="60" customHeight="1" x14ac:dyDescent="0.2">
      <c r="A38" s="104" t="s">
        <v>187</v>
      </c>
      <c r="B38" s="104" t="s">
        <v>194</v>
      </c>
      <c r="C38" s="104" t="s">
        <v>1131</v>
      </c>
      <c r="D38" s="104" t="s">
        <v>223</v>
      </c>
      <c r="E38" s="104"/>
      <c r="F38" s="104" t="s">
        <v>195</v>
      </c>
      <c r="G38" s="104"/>
      <c r="H38" s="104" t="s">
        <v>25</v>
      </c>
      <c r="I38" s="104"/>
      <c r="J38" s="73"/>
      <c r="K38" s="73"/>
      <c r="L38" s="73"/>
      <c r="M38" s="73"/>
      <c r="N38" s="73"/>
      <c r="O38" s="73"/>
      <c r="P38" s="73"/>
      <c r="Q38" s="73"/>
      <c r="R38" s="73"/>
      <c r="S38" s="73"/>
      <c r="T38" s="73"/>
      <c r="U38" s="73"/>
      <c r="V38" s="73"/>
      <c r="W38" s="49"/>
      <c r="X38" s="49"/>
      <c r="Y38" s="49"/>
      <c r="Z38" s="49"/>
    </row>
    <row r="39" spans="1:26" ht="60" customHeight="1" x14ac:dyDescent="0.2">
      <c r="A39" s="104" t="s">
        <v>188</v>
      </c>
      <c r="B39" s="104" t="s">
        <v>196</v>
      </c>
      <c r="C39" s="104" t="s">
        <v>1131</v>
      </c>
      <c r="D39" s="104" t="s">
        <v>1142</v>
      </c>
      <c r="E39" s="104"/>
      <c r="F39" s="104" t="s">
        <v>140</v>
      </c>
      <c r="G39" s="104"/>
      <c r="H39" s="104" t="s">
        <v>27</v>
      </c>
      <c r="I39" s="104"/>
      <c r="J39" s="132"/>
      <c r="K39" s="73"/>
      <c r="L39" s="73"/>
      <c r="M39" s="73"/>
      <c r="N39" s="73"/>
      <c r="O39" s="73"/>
      <c r="P39" s="73"/>
      <c r="Q39" s="73"/>
      <c r="R39" s="73"/>
      <c r="S39" s="73"/>
      <c r="T39" s="73"/>
      <c r="U39" s="73"/>
      <c r="V39" s="73"/>
      <c r="W39" s="49"/>
      <c r="X39" s="49"/>
      <c r="Y39" s="49"/>
      <c r="Z39" s="49"/>
    </row>
    <row r="40" spans="1:26" ht="60" customHeight="1" x14ac:dyDescent="0.2">
      <c r="A40" s="104" t="s">
        <v>202</v>
      </c>
      <c r="B40" s="92" t="s">
        <v>197</v>
      </c>
      <c r="C40" s="104" t="s">
        <v>1131</v>
      </c>
      <c r="D40" s="92" t="s">
        <v>1143</v>
      </c>
      <c r="E40" s="92"/>
      <c r="F40" s="92" t="s">
        <v>198</v>
      </c>
      <c r="G40" s="92"/>
      <c r="H40" s="104" t="s">
        <v>25</v>
      </c>
      <c r="I40" s="92"/>
      <c r="J40" s="73"/>
      <c r="K40" s="73"/>
      <c r="L40" s="73"/>
      <c r="M40" s="73"/>
      <c r="N40" s="73"/>
      <c r="O40" s="73"/>
      <c r="P40" s="73"/>
      <c r="Q40" s="73"/>
      <c r="R40" s="73"/>
      <c r="S40" s="73"/>
      <c r="T40" s="73"/>
      <c r="U40" s="73"/>
      <c r="V40" s="73"/>
      <c r="W40" s="49"/>
      <c r="X40" s="49"/>
      <c r="Y40" s="49"/>
      <c r="Z40" s="49"/>
    </row>
    <row r="41" spans="1:26" ht="60" customHeight="1" x14ac:dyDescent="0.2">
      <c r="A41" s="104" t="s">
        <v>204</v>
      </c>
      <c r="B41" s="92" t="s">
        <v>199</v>
      </c>
      <c r="C41" s="104" t="s">
        <v>1131</v>
      </c>
      <c r="D41" s="92" t="s">
        <v>224</v>
      </c>
      <c r="E41" s="92"/>
      <c r="F41" s="92" t="s">
        <v>200</v>
      </c>
      <c r="G41" s="92"/>
      <c r="H41" s="104" t="s">
        <v>25</v>
      </c>
      <c r="I41" s="92"/>
      <c r="J41" s="73"/>
      <c r="K41" s="73"/>
      <c r="L41" s="73"/>
      <c r="M41" s="73"/>
      <c r="N41" s="73"/>
      <c r="O41" s="73"/>
      <c r="P41" s="73"/>
      <c r="Q41" s="73"/>
      <c r="R41" s="73"/>
      <c r="S41" s="73"/>
      <c r="T41" s="73"/>
      <c r="U41" s="73"/>
      <c r="V41" s="73"/>
      <c r="W41" s="49"/>
      <c r="X41" s="49"/>
      <c r="Y41" s="49"/>
      <c r="Z41" s="49"/>
    </row>
    <row r="42" spans="1:26" ht="60" customHeight="1" x14ac:dyDescent="0.2">
      <c r="A42" s="104" t="s">
        <v>205</v>
      </c>
      <c r="B42" s="92" t="s">
        <v>226</v>
      </c>
      <c r="C42" s="104" t="s">
        <v>1131</v>
      </c>
      <c r="D42" s="92" t="s">
        <v>225</v>
      </c>
      <c r="E42" s="92"/>
      <c r="F42" s="92" t="s">
        <v>201</v>
      </c>
      <c r="G42" s="92"/>
      <c r="H42" s="104" t="s">
        <v>25</v>
      </c>
      <c r="I42" s="92"/>
      <c r="J42" s="73"/>
      <c r="K42" s="73"/>
      <c r="L42" s="73"/>
      <c r="M42" s="73"/>
      <c r="N42" s="73"/>
      <c r="O42" s="73"/>
      <c r="P42" s="73"/>
      <c r="Q42" s="73"/>
      <c r="R42" s="73"/>
      <c r="S42" s="73"/>
      <c r="T42" s="73"/>
      <c r="U42" s="73"/>
      <c r="V42" s="73"/>
      <c r="W42" s="49"/>
      <c r="X42" s="49"/>
      <c r="Y42" s="49"/>
      <c r="Z42" s="49"/>
    </row>
    <row r="43" spans="1:26" ht="15" customHeight="1" x14ac:dyDescent="0.2">
      <c r="A43" s="184" t="s">
        <v>160</v>
      </c>
      <c r="B43" s="185"/>
      <c r="C43" s="185"/>
      <c r="D43" s="185"/>
      <c r="E43" s="185"/>
      <c r="F43" s="185"/>
      <c r="G43" s="185"/>
      <c r="H43" s="185"/>
      <c r="I43" s="105"/>
      <c r="J43" s="8"/>
      <c r="K43" s="8"/>
      <c r="L43" s="8"/>
      <c r="M43" s="8"/>
      <c r="N43" s="8"/>
      <c r="O43" s="8"/>
      <c r="P43" s="8"/>
      <c r="Q43" s="8"/>
      <c r="R43" s="8"/>
      <c r="S43" s="8"/>
      <c r="T43" s="8"/>
      <c r="U43" s="8"/>
      <c r="V43" s="8"/>
      <c r="W43" s="49"/>
      <c r="X43" s="49"/>
      <c r="Y43" s="49"/>
      <c r="Z43" s="49"/>
    </row>
    <row r="44" spans="1:26" ht="60" customHeight="1" x14ac:dyDescent="0.2">
      <c r="A44" s="92" t="s">
        <v>208</v>
      </c>
      <c r="B44" s="92" t="s">
        <v>158</v>
      </c>
      <c r="C44" s="92" t="s">
        <v>1133</v>
      </c>
      <c r="D44" s="104" t="s">
        <v>1137</v>
      </c>
      <c r="E44" s="92" t="s">
        <v>133</v>
      </c>
      <c r="F44" s="92" t="s">
        <v>159</v>
      </c>
      <c r="G44" s="92"/>
      <c r="H44" s="92" t="s">
        <v>25</v>
      </c>
      <c r="I44" s="92"/>
      <c r="J44" s="8"/>
      <c r="K44" s="8"/>
      <c r="L44" s="8"/>
      <c r="M44" s="8"/>
      <c r="N44" s="8"/>
      <c r="O44" s="8"/>
      <c r="P44" s="8"/>
      <c r="Q44" s="8"/>
      <c r="R44" s="8"/>
      <c r="S44" s="8"/>
      <c r="T44" s="8"/>
      <c r="U44" s="8"/>
      <c r="V44" s="8"/>
      <c r="W44" s="49"/>
      <c r="X44" s="49"/>
      <c r="Y44" s="49"/>
      <c r="Z44" s="49"/>
    </row>
    <row r="45" spans="1:26" ht="60" customHeight="1" x14ac:dyDescent="0.2">
      <c r="A45" s="92" t="s">
        <v>211</v>
      </c>
      <c r="B45" s="92" t="s">
        <v>161</v>
      </c>
      <c r="C45" s="92" t="s">
        <v>1134</v>
      </c>
      <c r="D45" s="104" t="s">
        <v>1137</v>
      </c>
      <c r="E45" s="92"/>
      <c r="F45" s="92" t="s">
        <v>1126</v>
      </c>
      <c r="G45" s="92"/>
      <c r="H45" s="92" t="s">
        <v>25</v>
      </c>
      <c r="I45" s="92"/>
      <c r="J45" s="8"/>
      <c r="K45" s="8"/>
      <c r="L45" s="8"/>
      <c r="M45" s="8"/>
      <c r="N45" s="8"/>
      <c r="O45" s="8"/>
      <c r="P45" s="8"/>
      <c r="Q45" s="8"/>
      <c r="R45" s="8"/>
      <c r="S45" s="8"/>
      <c r="T45" s="8"/>
      <c r="U45" s="8"/>
      <c r="V45" s="8"/>
      <c r="W45" s="49"/>
      <c r="X45" s="49"/>
      <c r="Y45" s="49"/>
      <c r="Z45" s="49"/>
    </row>
    <row r="46" spans="1:26" ht="60" customHeight="1" x14ac:dyDescent="0.2">
      <c r="A46" s="92" t="s">
        <v>212</v>
      </c>
      <c r="B46" s="92" t="s">
        <v>190</v>
      </c>
      <c r="C46" s="92"/>
      <c r="D46" s="104" t="s">
        <v>1137</v>
      </c>
      <c r="E46" s="92"/>
      <c r="F46" s="92" t="s">
        <v>191</v>
      </c>
      <c r="G46" s="92"/>
      <c r="H46" s="92" t="s">
        <v>25</v>
      </c>
      <c r="I46" s="92"/>
      <c r="J46" s="8"/>
      <c r="K46" s="8"/>
      <c r="L46" s="8"/>
      <c r="M46" s="8"/>
      <c r="N46" s="8"/>
      <c r="O46" s="8"/>
      <c r="P46" s="8"/>
      <c r="Q46" s="8"/>
      <c r="R46" s="8"/>
      <c r="S46" s="8"/>
      <c r="T46" s="8"/>
      <c r="U46" s="8"/>
      <c r="V46" s="8"/>
      <c r="W46" s="49"/>
      <c r="X46" s="49"/>
      <c r="Y46" s="49"/>
      <c r="Z46" s="49"/>
    </row>
    <row r="47" spans="1:26" ht="60" customHeight="1" x14ac:dyDescent="0.2">
      <c r="A47" s="92" t="s">
        <v>189</v>
      </c>
      <c r="B47" s="92" t="s">
        <v>192</v>
      </c>
      <c r="C47" s="92"/>
      <c r="D47" s="104" t="s">
        <v>1137</v>
      </c>
      <c r="E47" s="92"/>
      <c r="F47" s="92" t="s">
        <v>193</v>
      </c>
      <c r="G47" s="92"/>
      <c r="H47" s="92" t="s">
        <v>25</v>
      </c>
      <c r="I47" s="92"/>
      <c r="J47" s="8"/>
      <c r="K47" s="8"/>
      <c r="L47" s="8"/>
      <c r="M47" s="8"/>
      <c r="N47" s="8"/>
      <c r="O47" s="8"/>
      <c r="P47" s="8"/>
      <c r="Q47" s="8"/>
      <c r="R47" s="8"/>
      <c r="S47" s="8"/>
      <c r="T47" s="8"/>
      <c r="U47" s="8"/>
      <c r="V47" s="8"/>
      <c r="W47" s="49"/>
      <c r="X47" s="49"/>
      <c r="Y47" s="49"/>
      <c r="Z47" s="49"/>
    </row>
    <row r="48" spans="1:26" ht="14.25" x14ac:dyDescent="0.2">
      <c r="A48" s="8"/>
      <c r="B48" s="8"/>
      <c r="C48" s="8"/>
      <c r="D48" s="8"/>
      <c r="E48" s="8"/>
      <c r="F48" s="8"/>
      <c r="G48" s="8"/>
      <c r="H48" s="8"/>
      <c r="I48" s="8"/>
      <c r="J48" s="8"/>
      <c r="K48" s="8"/>
      <c r="L48" s="8"/>
      <c r="M48" s="8"/>
      <c r="N48" s="8"/>
      <c r="O48" s="8"/>
      <c r="P48" s="8"/>
      <c r="Q48" s="8"/>
      <c r="R48" s="8"/>
      <c r="S48" s="8"/>
      <c r="T48" s="8"/>
      <c r="U48" s="8"/>
      <c r="V48" s="8"/>
      <c r="W48" s="49"/>
      <c r="X48" s="49"/>
      <c r="Y48" s="49"/>
      <c r="Z48" s="49"/>
    </row>
    <row r="49" spans="1:26" ht="14.25" x14ac:dyDescent="0.2">
      <c r="A49" s="8"/>
      <c r="B49" s="8"/>
      <c r="C49" s="8"/>
      <c r="D49" s="8"/>
      <c r="E49" s="8"/>
      <c r="F49" s="8"/>
      <c r="G49" s="8"/>
      <c r="H49" s="8"/>
      <c r="I49" s="8"/>
      <c r="J49" s="8"/>
      <c r="K49" s="8"/>
      <c r="L49" s="8"/>
      <c r="M49" s="8"/>
      <c r="N49" s="8"/>
      <c r="O49" s="8"/>
      <c r="P49" s="8"/>
      <c r="Q49" s="8"/>
      <c r="R49" s="8"/>
      <c r="S49" s="8"/>
      <c r="T49" s="8"/>
      <c r="U49" s="8"/>
      <c r="V49" s="8"/>
      <c r="W49" s="49"/>
      <c r="X49" s="49"/>
      <c r="Y49" s="49"/>
      <c r="Z49" s="49"/>
    </row>
    <row r="50" spans="1:26" ht="14.25" x14ac:dyDescent="0.2">
      <c r="A50" s="8"/>
      <c r="B50" s="8"/>
      <c r="C50" s="8"/>
      <c r="D50" s="8"/>
      <c r="E50" s="8"/>
      <c r="F50" s="8"/>
      <c r="G50" s="8"/>
      <c r="H50" s="8"/>
      <c r="I50" s="8"/>
      <c r="J50" s="8"/>
      <c r="K50" s="8"/>
      <c r="L50" s="8"/>
      <c r="M50" s="8"/>
      <c r="N50" s="8"/>
      <c r="O50" s="8"/>
      <c r="P50" s="8"/>
      <c r="Q50" s="8"/>
      <c r="R50" s="8"/>
      <c r="S50" s="8"/>
      <c r="T50" s="8"/>
      <c r="U50" s="8"/>
      <c r="V50" s="8"/>
      <c r="W50" s="49"/>
      <c r="X50" s="49"/>
      <c r="Y50" s="49"/>
      <c r="Z50" s="49"/>
    </row>
    <row r="51" spans="1:26" ht="14.25" x14ac:dyDescent="0.2">
      <c r="A51" s="8"/>
      <c r="B51" s="8"/>
      <c r="C51" s="8"/>
      <c r="D51" s="8"/>
      <c r="E51" s="8"/>
      <c r="F51" s="8"/>
      <c r="G51" s="8"/>
      <c r="H51" s="8"/>
      <c r="I51" s="8"/>
      <c r="J51" s="8"/>
      <c r="K51" s="8"/>
      <c r="L51" s="8"/>
      <c r="M51" s="8"/>
      <c r="N51" s="8"/>
      <c r="O51" s="8"/>
      <c r="P51" s="8"/>
      <c r="Q51" s="8"/>
      <c r="R51" s="8"/>
      <c r="S51" s="8"/>
      <c r="T51" s="8"/>
      <c r="U51" s="8"/>
      <c r="V51" s="8"/>
      <c r="W51" s="49"/>
      <c r="X51" s="49"/>
      <c r="Y51" s="49"/>
      <c r="Z51" s="49"/>
    </row>
    <row r="52" spans="1:26" ht="14.25" x14ac:dyDescent="0.2">
      <c r="A52" s="8"/>
      <c r="B52" s="8"/>
      <c r="C52" s="8"/>
      <c r="D52" s="8"/>
      <c r="E52" s="8"/>
      <c r="F52" s="8"/>
      <c r="G52" s="8"/>
      <c r="H52" s="8"/>
      <c r="I52" s="8"/>
      <c r="J52" s="8"/>
      <c r="K52" s="8"/>
      <c r="L52" s="8"/>
      <c r="M52" s="8"/>
      <c r="N52" s="8"/>
      <c r="O52" s="8"/>
      <c r="P52" s="8"/>
      <c r="Q52" s="8"/>
      <c r="R52" s="8"/>
      <c r="S52" s="8"/>
      <c r="T52" s="8"/>
      <c r="U52" s="8"/>
      <c r="V52" s="8"/>
      <c r="W52" s="49"/>
      <c r="X52" s="49"/>
      <c r="Y52" s="49"/>
      <c r="Z52" s="49"/>
    </row>
    <row r="53" spans="1:26" ht="14.25" x14ac:dyDescent="0.2">
      <c r="A53" s="8"/>
      <c r="B53" s="8"/>
      <c r="C53" s="8"/>
      <c r="D53" s="8"/>
      <c r="E53" s="8"/>
      <c r="F53" s="8"/>
      <c r="G53" s="8"/>
      <c r="H53" s="8"/>
      <c r="I53" s="8"/>
      <c r="J53" s="8"/>
      <c r="K53" s="8"/>
      <c r="L53" s="8"/>
      <c r="M53" s="8"/>
      <c r="N53" s="8"/>
      <c r="O53" s="8"/>
      <c r="P53" s="8"/>
      <c r="Q53" s="8"/>
      <c r="R53" s="8"/>
      <c r="S53" s="8"/>
      <c r="T53" s="8"/>
      <c r="U53" s="8"/>
      <c r="V53" s="8"/>
      <c r="W53" s="49"/>
      <c r="X53" s="49"/>
      <c r="Y53" s="49"/>
      <c r="Z53" s="49"/>
    </row>
    <row r="54" spans="1:26" ht="14.25" x14ac:dyDescent="0.2">
      <c r="A54" s="8"/>
      <c r="B54" s="8"/>
      <c r="C54" s="8"/>
      <c r="D54" s="8"/>
      <c r="E54" s="8"/>
      <c r="F54" s="8"/>
      <c r="G54" s="8"/>
      <c r="H54" s="8"/>
      <c r="I54" s="8"/>
      <c r="J54" s="8"/>
      <c r="K54" s="8"/>
      <c r="L54" s="8"/>
      <c r="M54" s="8"/>
      <c r="N54" s="8"/>
      <c r="O54" s="8"/>
      <c r="P54" s="8"/>
      <c r="Q54" s="8"/>
      <c r="R54" s="8"/>
      <c r="S54" s="8"/>
      <c r="T54" s="8"/>
      <c r="U54" s="8"/>
      <c r="V54" s="8"/>
      <c r="W54" s="49"/>
      <c r="X54" s="49"/>
      <c r="Y54" s="49"/>
      <c r="Z54" s="49"/>
    </row>
    <row r="55" spans="1:26" ht="14.25" x14ac:dyDescent="0.2">
      <c r="A55" s="8"/>
      <c r="B55" s="8"/>
      <c r="C55" s="8"/>
      <c r="D55" s="8"/>
      <c r="E55" s="8"/>
      <c r="F55" s="8"/>
      <c r="G55" s="8"/>
      <c r="H55" s="8"/>
      <c r="I55" s="8"/>
      <c r="J55" s="8"/>
      <c r="K55" s="8"/>
      <c r="L55" s="8"/>
      <c r="M55" s="8"/>
      <c r="N55" s="8"/>
      <c r="O55" s="8"/>
      <c r="P55" s="8"/>
      <c r="Q55" s="8"/>
      <c r="R55" s="8"/>
      <c r="S55" s="8"/>
      <c r="T55" s="8"/>
      <c r="U55" s="8"/>
      <c r="V55" s="8"/>
      <c r="W55" s="49"/>
      <c r="X55" s="49"/>
      <c r="Y55" s="49"/>
      <c r="Z55" s="49"/>
    </row>
    <row r="56" spans="1:26" ht="14.25" x14ac:dyDescent="0.2">
      <c r="A56" s="8"/>
      <c r="B56" s="8"/>
      <c r="C56" s="8"/>
      <c r="D56" s="8"/>
      <c r="E56" s="8"/>
      <c r="F56" s="8"/>
      <c r="G56" s="8"/>
      <c r="H56" s="8"/>
      <c r="I56" s="8"/>
      <c r="J56" s="8"/>
      <c r="K56" s="8"/>
      <c r="L56" s="8"/>
      <c r="M56" s="8"/>
      <c r="N56" s="8"/>
      <c r="O56" s="8"/>
      <c r="P56" s="8"/>
      <c r="Q56" s="8"/>
      <c r="R56" s="8"/>
      <c r="S56" s="8"/>
      <c r="T56" s="8"/>
      <c r="U56" s="8"/>
      <c r="V56" s="8"/>
      <c r="W56" s="49"/>
      <c r="X56" s="49"/>
      <c r="Y56" s="49"/>
      <c r="Z56" s="49"/>
    </row>
    <row r="57" spans="1:26" ht="14.25" x14ac:dyDescent="0.2">
      <c r="A57" s="8"/>
      <c r="B57" s="8"/>
      <c r="C57" s="8"/>
      <c r="D57" s="8"/>
      <c r="E57" s="8"/>
      <c r="F57" s="8"/>
      <c r="G57" s="8"/>
      <c r="H57" s="8"/>
      <c r="I57" s="8"/>
      <c r="J57" s="8"/>
      <c r="K57" s="8"/>
      <c r="L57" s="8"/>
      <c r="M57" s="8"/>
      <c r="N57" s="8"/>
      <c r="O57" s="8"/>
      <c r="P57" s="8"/>
      <c r="Q57" s="8"/>
      <c r="R57" s="8"/>
      <c r="S57" s="8"/>
      <c r="T57" s="8"/>
      <c r="U57" s="8"/>
      <c r="V57" s="8"/>
      <c r="W57" s="49"/>
      <c r="X57" s="49"/>
      <c r="Y57" s="49"/>
      <c r="Z57" s="49"/>
    </row>
    <row r="58" spans="1:26" ht="14.25" x14ac:dyDescent="0.2">
      <c r="A58" s="8"/>
      <c r="B58" s="8"/>
      <c r="C58" s="8"/>
      <c r="D58" s="8"/>
      <c r="E58" s="8"/>
      <c r="F58" s="8"/>
      <c r="G58" s="8"/>
      <c r="H58" s="8"/>
      <c r="I58" s="8"/>
      <c r="J58" s="8"/>
      <c r="K58" s="8"/>
      <c r="L58" s="8"/>
      <c r="M58" s="8"/>
      <c r="N58" s="8"/>
      <c r="O58" s="8"/>
      <c r="P58" s="8"/>
      <c r="Q58" s="8"/>
      <c r="R58" s="8"/>
      <c r="S58" s="8"/>
      <c r="T58" s="8"/>
      <c r="U58" s="8"/>
      <c r="V58" s="8"/>
      <c r="W58" s="49"/>
      <c r="X58" s="49"/>
      <c r="Y58" s="49"/>
      <c r="Z58" s="49"/>
    </row>
    <row r="59" spans="1:26" ht="14.25" x14ac:dyDescent="0.2">
      <c r="A59" s="8"/>
      <c r="B59" s="8"/>
      <c r="C59" s="8"/>
      <c r="D59" s="8"/>
      <c r="E59" s="8"/>
      <c r="F59" s="8"/>
      <c r="G59" s="8"/>
      <c r="H59" s="8"/>
      <c r="I59" s="8"/>
      <c r="J59" s="8"/>
      <c r="K59" s="8"/>
      <c r="L59" s="8"/>
      <c r="M59" s="8"/>
      <c r="N59" s="8"/>
      <c r="O59" s="8"/>
      <c r="P59" s="8"/>
      <c r="Q59" s="8"/>
      <c r="R59" s="8"/>
      <c r="S59" s="8"/>
      <c r="T59" s="8"/>
      <c r="U59" s="8"/>
      <c r="V59" s="8"/>
      <c r="W59" s="49"/>
      <c r="X59" s="49"/>
      <c r="Y59" s="49"/>
      <c r="Z59" s="49"/>
    </row>
    <row r="60" spans="1:26" ht="14.25" x14ac:dyDescent="0.2">
      <c r="A60" s="8"/>
      <c r="B60" s="8"/>
      <c r="C60" s="8"/>
      <c r="D60" s="8"/>
      <c r="E60" s="8"/>
      <c r="F60" s="8"/>
      <c r="G60" s="8"/>
      <c r="H60" s="8"/>
      <c r="I60" s="8"/>
      <c r="J60" s="8"/>
      <c r="K60" s="8"/>
      <c r="L60" s="8"/>
      <c r="M60" s="8"/>
      <c r="N60" s="8"/>
      <c r="O60" s="8"/>
      <c r="P60" s="8"/>
      <c r="Q60" s="8"/>
      <c r="R60" s="8"/>
      <c r="S60" s="8"/>
      <c r="T60" s="8"/>
      <c r="U60" s="8"/>
      <c r="V60" s="8"/>
      <c r="W60" s="49"/>
      <c r="X60" s="49"/>
      <c r="Y60" s="49"/>
      <c r="Z60" s="49"/>
    </row>
    <row r="61" spans="1:26" ht="14.25" x14ac:dyDescent="0.2">
      <c r="A61" s="8"/>
      <c r="B61" s="8"/>
      <c r="C61" s="8"/>
      <c r="D61" s="8"/>
      <c r="E61" s="8"/>
      <c r="F61" s="8"/>
      <c r="G61" s="8"/>
      <c r="H61" s="8"/>
      <c r="I61" s="8"/>
      <c r="J61" s="8"/>
      <c r="K61" s="8"/>
      <c r="L61" s="8"/>
      <c r="M61" s="8"/>
      <c r="N61" s="8"/>
      <c r="O61" s="8"/>
      <c r="P61" s="8"/>
      <c r="Q61" s="8"/>
      <c r="R61" s="8"/>
      <c r="S61" s="8"/>
      <c r="T61" s="8"/>
      <c r="U61" s="8"/>
      <c r="V61" s="8"/>
      <c r="W61" s="49"/>
      <c r="X61" s="49"/>
      <c r="Y61" s="49"/>
      <c r="Z61" s="49"/>
    </row>
    <row r="62" spans="1:26" ht="14.25" x14ac:dyDescent="0.2">
      <c r="A62" s="8"/>
      <c r="B62" s="8"/>
      <c r="C62" s="8"/>
      <c r="D62" s="8"/>
      <c r="E62" s="8"/>
      <c r="F62" s="8"/>
      <c r="G62" s="8"/>
      <c r="H62" s="8"/>
      <c r="I62" s="8"/>
      <c r="J62" s="8"/>
      <c r="K62" s="8"/>
      <c r="L62" s="8"/>
      <c r="M62" s="8"/>
      <c r="N62" s="8"/>
      <c r="O62" s="8"/>
      <c r="P62" s="8"/>
      <c r="Q62" s="8"/>
      <c r="R62" s="8"/>
      <c r="S62" s="8"/>
      <c r="T62" s="8"/>
      <c r="U62" s="8"/>
      <c r="V62" s="8"/>
      <c r="W62" s="49"/>
      <c r="X62" s="49"/>
      <c r="Y62" s="49"/>
      <c r="Z62" s="49"/>
    </row>
    <row r="63" spans="1:26" ht="14.25" x14ac:dyDescent="0.2">
      <c r="A63" s="8"/>
      <c r="B63" s="8"/>
      <c r="C63" s="8"/>
      <c r="D63" s="8"/>
      <c r="E63" s="8"/>
      <c r="F63" s="8"/>
      <c r="G63" s="8"/>
      <c r="H63" s="8"/>
      <c r="I63" s="8"/>
      <c r="J63" s="8"/>
      <c r="K63" s="8"/>
      <c r="L63" s="8"/>
      <c r="M63" s="8"/>
      <c r="N63" s="8"/>
      <c r="O63" s="8"/>
      <c r="P63" s="8"/>
      <c r="Q63" s="8"/>
      <c r="R63" s="8"/>
      <c r="S63" s="8"/>
      <c r="T63" s="8"/>
      <c r="U63" s="8"/>
      <c r="V63" s="8"/>
      <c r="W63" s="49"/>
      <c r="X63" s="49"/>
      <c r="Y63" s="49"/>
      <c r="Z63" s="49"/>
    </row>
    <row r="64" spans="1:26" ht="14.25" x14ac:dyDescent="0.2">
      <c r="A64" s="8"/>
      <c r="B64" s="8"/>
      <c r="C64" s="8"/>
      <c r="D64" s="8"/>
      <c r="E64" s="8"/>
      <c r="F64" s="8"/>
      <c r="G64" s="8"/>
      <c r="H64" s="8"/>
      <c r="I64" s="8"/>
      <c r="J64" s="8"/>
      <c r="K64" s="8"/>
      <c r="L64" s="8"/>
      <c r="M64" s="8"/>
      <c r="N64" s="8"/>
      <c r="O64" s="8"/>
      <c r="P64" s="8"/>
      <c r="Q64" s="8"/>
      <c r="R64" s="8"/>
      <c r="S64" s="8"/>
      <c r="T64" s="8"/>
      <c r="U64" s="8"/>
      <c r="V64" s="8"/>
      <c r="W64" s="49"/>
      <c r="X64" s="49"/>
      <c r="Y64" s="49"/>
      <c r="Z64" s="49"/>
    </row>
    <row r="65" spans="1:26" ht="14.25" x14ac:dyDescent="0.2">
      <c r="A65" s="8"/>
      <c r="B65" s="8"/>
      <c r="C65" s="8"/>
      <c r="D65" s="8"/>
      <c r="E65" s="8"/>
      <c r="F65" s="8"/>
      <c r="G65" s="8"/>
      <c r="H65" s="8"/>
      <c r="I65" s="8"/>
      <c r="J65" s="8"/>
      <c r="K65" s="8"/>
      <c r="L65" s="8"/>
      <c r="M65" s="8"/>
      <c r="N65" s="8"/>
      <c r="O65" s="8"/>
      <c r="P65" s="8"/>
      <c r="Q65" s="8"/>
      <c r="R65" s="8"/>
      <c r="S65" s="8"/>
      <c r="T65" s="8"/>
      <c r="U65" s="8"/>
      <c r="V65" s="8"/>
      <c r="W65" s="49"/>
      <c r="X65" s="49"/>
      <c r="Y65" s="49"/>
      <c r="Z65" s="49"/>
    </row>
    <row r="66" spans="1:26" ht="14.25" x14ac:dyDescent="0.2">
      <c r="A66" s="8"/>
      <c r="B66" s="8"/>
      <c r="C66" s="8"/>
      <c r="D66" s="8"/>
      <c r="E66" s="8"/>
      <c r="F66" s="8"/>
      <c r="G66" s="8"/>
      <c r="H66" s="8"/>
      <c r="I66" s="8"/>
      <c r="J66" s="8"/>
      <c r="K66" s="8"/>
      <c r="L66" s="8"/>
      <c r="M66" s="8"/>
      <c r="N66" s="8"/>
      <c r="O66" s="8"/>
      <c r="P66" s="8"/>
      <c r="Q66" s="8"/>
      <c r="R66" s="8"/>
      <c r="S66" s="8"/>
      <c r="T66" s="8"/>
      <c r="U66" s="8"/>
      <c r="V66" s="8"/>
      <c r="W66" s="49"/>
      <c r="X66" s="49"/>
      <c r="Y66" s="49"/>
      <c r="Z66" s="49"/>
    </row>
    <row r="67" spans="1:26" ht="14.25" x14ac:dyDescent="0.2">
      <c r="A67" s="8"/>
      <c r="B67" s="8"/>
      <c r="C67" s="8"/>
      <c r="D67" s="8"/>
      <c r="E67" s="8"/>
      <c r="F67" s="8"/>
      <c r="G67" s="8"/>
      <c r="H67" s="8"/>
      <c r="I67" s="8"/>
      <c r="J67" s="8"/>
      <c r="K67" s="8"/>
      <c r="L67" s="8"/>
      <c r="M67" s="8"/>
      <c r="N67" s="8"/>
      <c r="O67" s="8"/>
      <c r="P67" s="8"/>
      <c r="Q67" s="8"/>
      <c r="R67" s="8"/>
      <c r="S67" s="8"/>
      <c r="T67" s="8"/>
      <c r="U67" s="8"/>
      <c r="V67" s="8"/>
      <c r="W67" s="49"/>
      <c r="X67" s="49"/>
      <c r="Y67" s="49"/>
      <c r="Z67" s="49"/>
    </row>
    <row r="68" spans="1:26" ht="14.25" x14ac:dyDescent="0.2">
      <c r="A68" s="8"/>
      <c r="B68" s="8"/>
      <c r="C68" s="8"/>
      <c r="D68" s="8"/>
      <c r="E68" s="8"/>
      <c r="F68" s="8"/>
      <c r="G68" s="8"/>
      <c r="H68" s="8"/>
      <c r="I68" s="8"/>
      <c r="J68" s="8"/>
      <c r="K68" s="8"/>
      <c r="L68" s="8"/>
      <c r="M68" s="8"/>
      <c r="N68" s="8"/>
      <c r="O68" s="8"/>
      <c r="P68" s="8"/>
      <c r="Q68" s="8"/>
      <c r="R68" s="8"/>
      <c r="S68" s="8"/>
      <c r="T68" s="8"/>
      <c r="U68" s="8"/>
      <c r="V68" s="8"/>
      <c r="W68" s="49"/>
      <c r="X68" s="49"/>
      <c r="Y68" s="49"/>
      <c r="Z68" s="49"/>
    </row>
    <row r="69" spans="1:26" ht="14.25" x14ac:dyDescent="0.2">
      <c r="A69" s="8"/>
      <c r="B69" s="8"/>
      <c r="C69" s="8"/>
      <c r="D69" s="8"/>
      <c r="E69" s="8"/>
      <c r="F69" s="8"/>
      <c r="G69" s="8"/>
      <c r="H69" s="8"/>
      <c r="I69" s="8"/>
      <c r="J69" s="8"/>
      <c r="K69" s="8"/>
      <c r="L69" s="8"/>
      <c r="M69" s="8"/>
      <c r="N69" s="8"/>
      <c r="O69" s="8"/>
      <c r="P69" s="8"/>
      <c r="Q69" s="8"/>
      <c r="R69" s="8"/>
      <c r="S69" s="8"/>
      <c r="T69" s="8"/>
      <c r="U69" s="8"/>
      <c r="V69" s="8"/>
      <c r="W69" s="49"/>
      <c r="X69" s="49"/>
      <c r="Y69" s="49"/>
      <c r="Z69" s="49"/>
    </row>
    <row r="70" spans="1:26" ht="14.25" x14ac:dyDescent="0.2">
      <c r="A70" s="8"/>
      <c r="B70" s="8"/>
      <c r="C70" s="8"/>
      <c r="D70" s="8"/>
      <c r="E70" s="8"/>
      <c r="F70" s="8"/>
      <c r="G70" s="8"/>
      <c r="H70" s="8"/>
      <c r="I70" s="8"/>
      <c r="J70" s="8"/>
      <c r="K70" s="8"/>
      <c r="L70" s="8"/>
      <c r="M70" s="8"/>
      <c r="N70" s="8"/>
      <c r="O70" s="8"/>
      <c r="P70" s="8"/>
      <c r="Q70" s="8"/>
      <c r="R70" s="8"/>
      <c r="S70" s="8"/>
      <c r="T70" s="8"/>
      <c r="U70" s="8"/>
      <c r="V70" s="8"/>
      <c r="W70" s="49"/>
      <c r="X70" s="49"/>
      <c r="Y70" s="49"/>
      <c r="Z70" s="49"/>
    </row>
    <row r="71" spans="1:26" ht="14.25" x14ac:dyDescent="0.2">
      <c r="A71" s="8"/>
      <c r="B71" s="8"/>
      <c r="C71" s="8"/>
      <c r="D71" s="8"/>
      <c r="E71" s="8"/>
      <c r="F71" s="8"/>
      <c r="G71" s="8"/>
      <c r="H71" s="8"/>
      <c r="I71" s="8"/>
      <c r="J71" s="8"/>
      <c r="K71" s="8"/>
      <c r="L71" s="8"/>
      <c r="M71" s="8"/>
      <c r="N71" s="8"/>
      <c r="O71" s="8"/>
      <c r="P71" s="8"/>
      <c r="Q71" s="8"/>
      <c r="R71" s="8"/>
      <c r="S71" s="8"/>
      <c r="T71" s="8"/>
      <c r="U71" s="8"/>
      <c r="V71" s="8"/>
      <c r="W71" s="49"/>
      <c r="X71" s="49"/>
      <c r="Y71" s="49"/>
      <c r="Z71" s="49"/>
    </row>
    <row r="72" spans="1:26" ht="14.25" x14ac:dyDescent="0.2">
      <c r="A72" s="8"/>
      <c r="B72" s="8"/>
      <c r="C72" s="8"/>
      <c r="D72" s="8"/>
      <c r="E72" s="8"/>
      <c r="F72" s="8"/>
      <c r="G72" s="8"/>
      <c r="H72" s="8"/>
      <c r="I72" s="8"/>
      <c r="J72" s="8"/>
      <c r="K72" s="8"/>
      <c r="L72" s="8"/>
      <c r="M72" s="8"/>
      <c r="N72" s="8"/>
      <c r="O72" s="8"/>
      <c r="P72" s="8"/>
      <c r="Q72" s="8"/>
      <c r="R72" s="8"/>
      <c r="S72" s="8"/>
      <c r="T72" s="8"/>
      <c r="U72" s="8"/>
      <c r="V72" s="8"/>
      <c r="W72" s="49"/>
      <c r="X72" s="49"/>
      <c r="Y72" s="49"/>
      <c r="Z72" s="49"/>
    </row>
    <row r="73" spans="1:26" ht="14.25" x14ac:dyDescent="0.2">
      <c r="A73" s="8"/>
      <c r="B73" s="8"/>
      <c r="C73" s="8"/>
      <c r="D73" s="8"/>
      <c r="E73" s="8"/>
      <c r="F73" s="8"/>
      <c r="G73" s="8"/>
      <c r="H73" s="8"/>
      <c r="I73" s="8"/>
      <c r="J73" s="8"/>
      <c r="K73" s="8"/>
      <c r="L73" s="8"/>
      <c r="M73" s="8"/>
      <c r="N73" s="8"/>
      <c r="O73" s="8"/>
      <c r="P73" s="8"/>
      <c r="Q73" s="8"/>
      <c r="R73" s="8"/>
      <c r="S73" s="8"/>
      <c r="T73" s="8"/>
      <c r="U73" s="8"/>
      <c r="V73" s="8"/>
      <c r="W73" s="49"/>
      <c r="X73" s="49"/>
      <c r="Y73" s="49"/>
      <c r="Z73" s="49"/>
    </row>
    <row r="74" spans="1:26" ht="14.25" x14ac:dyDescent="0.2">
      <c r="A74" s="8"/>
      <c r="B74" s="8"/>
      <c r="C74" s="8"/>
      <c r="D74" s="8"/>
      <c r="E74" s="8"/>
      <c r="F74" s="8"/>
      <c r="G74" s="8"/>
      <c r="H74" s="8"/>
      <c r="I74" s="8"/>
      <c r="J74" s="8"/>
      <c r="K74" s="8"/>
      <c r="L74" s="8"/>
      <c r="M74" s="8"/>
      <c r="N74" s="8"/>
      <c r="O74" s="8"/>
      <c r="P74" s="8"/>
      <c r="Q74" s="8"/>
      <c r="R74" s="8"/>
      <c r="S74" s="8"/>
      <c r="T74" s="8"/>
      <c r="U74" s="8"/>
      <c r="V74" s="8"/>
      <c r="W74" s="49"/>
      <c r="X74" s="49"/>
      <c r="Y74" s="49"/>
      <c r="Z74" s="49"/>
    </row>
    <row r="75" spans="1:26" ht="14.25" x14ac:dyDescent="0.2">
      <c r="A75" s="8"/>
      <c r="B75" s="8"/>
      <c r="C75" s="8"/>
      <c r="D75" s="8"/>
      <c r="E75" s="8"/>
      <c r="F75" s="8"/>
      <c r="G75" s="8"/>
      <c r="H75" s="8"/>
      <c r="I75" s="8"/>
      <c r="J75" s="8"/>
      <c r="K75" s="8"/>
      <c r="L75" s="8"/>
      <c r="M75" s="8"/>
      <c r="N75" s="8"/>
      <c r="O75" s="8"/>
      <c r="P75" s="8"/>
      <c r="Q75" s="8"/>
      <c r="R75" s="8"/>
      <c r="S75" s="8"/>
      <c r="T75" s="8"/>
      <c r="U75" s="8"/>
      <c r="V75" s="8"/>
      <c r="W75" s="49"/>
      <c r="X75" s="49"/>
      <c r="Y75" s="49"/>
      <c r="Z75" s="49"/>
    </row>
    <row r="76" spans="1:26" ht="14.25" x14ac:dyDescent="0.2">
      <c r="A76" s="8"/>
      <c r="B76" s="8"/>
      <c r="C76" s="8"/>
      <c r="D76" s="8"/>
      <c r="E76" s="8"/>
      <c r="F76" s="8"/>
      <c r="G76" s="8"/>
      <c r="H76" s="8"/>
      <c r="I76" s="8"/>
      <c r="J76" s="8"/>
      <c r="K76" s="8"/>
      <c r="L76" s="8"/>
      <c r="M76" s="8"/>
      <c r="N76" s="8"/>
      <c r="O76" s="8"/>
      <c r="P76" s="8"/>
      <c r="Q76" s="8"/>
      <c r="R76" s="8"/>
      <c r="S76" s="8"/>
      <c r="T76" s="8"/>
      <c r="U76" s="8"/>
      <c r="V76" s="8"/>
      <c r="W76" s="49"/>
      <c r="X76" s="49"/>
      <c r="Y76" s="49"/>
      <c r="Z76" s="49"/>
    </row>
    <row r="77" spans="1:26" ht="14.25" x14ac:dyDescent="0.2">
      <c r="A77" s="8"/>
      <c r="B77" s="8"/>
      <c r="C77" s="8"/>
      <c r="D77" s="8"/>
      <c r="E77" s="8"/>
      <c r="F77" s="8"/>
      <c r="G77" s="8"/>
      <c r="H77" s="8"/>
      <c r="I77" s="8"/>
      <c r="J77" s="8"/>
      <c r="K77" s="8"/>
      <c r="L77" s="8"/>
      <c r="M77" s="8"/>
      <c r="N77" s="8"/>
      <c r="O77" s="8"/>
      <c r="P77" s="8"/>
      <c r="Q77" s="8"/>
      <c r="R77" s="8"/>
      <c r="S77" s="8"/>
      <c r="T77" s="8"/>
      <c r="U77" s="8"/>
      <c r="V77" s="8"/>
      <c r="W77" s="49"/>
      <c r="X77" s="49"/>
      <c r="Y77" s="49"/>
      <c r="Z77" s="49"/>
    </row>
    <row r="78" spans="1:26" ht="14.25" x14ac:dyDescent="0.2">
      <c r="A78" s="8"/>
      <c r="B78" s="8"/>
      <c r="C78" s="8"/>
      <c r="D78" s="8"/>
      <c r="E78" s="8"/>
      <c r="F78" s="8"/>
      <c r="G78" s="8"/>
      <c r="H78" s="8"/>
      <c r="I78" s="8"/>
      <c r="J78" s="8"/>
      <c r="K78" s="8"/>
      <c r="L78" s="8"/>
      <c r="M78" s="8"/>
      <c r="N78" s="8"/>
      <c r="O78" s="8"/>
      <c r="P78" s="8"/>
      <c r="Q78" s="8"/>
      <c r="R78" s="8"/>
      <c r="S78" s="8"/>
      <c r="T78" s="8"/>
      <c r="U78" s="8"/>
      <c r="V78" s="8"/>
      <c r="W78" s="49"/>
      <c r="X78" s="49"/>
      <c r="Y78" s="49"/>
      <c r="Z78" s="49"/>
    </row>
    <row r="79" spans="1:26" ht="14.25" x14ac:dyDescent="0.2">
      <c r="A79" s="8"/>
      <c r="B79" s="8"/>
      <c r="C79" s="8"/>
      <c r="D79" s="8"/>
      <c r="E79" s="8"/>
      <c r="F79" s="8"/>
      <c r="G79" s="8"/>
      <c r="H79" s="8"/>
      <c r="I79" s="8"/>
      <c r="J79" s="8"/>
      <c r="K79" s="8"/>
      <c r="L79" s="8"/>
      <c r="M79" s="8"/>
      <c r="N79" s="8"/>
      <c r="O79" s="8"/>
      <c r="P79" s="8"/>
      <c r="Q79" s="8"/>
      <c r="R79" s="8"/>
      <c r="S79" s="8"/>
      <c r="T79" s="8"/>
      <c r="U79" s="8"/>
      <c r="V79" s="8"/>
      <c r="W79" s="49"/>
      <c r="X79" s="49"/>
      <c r="Y79" s="49"/>
      <c r="Z79" s="49"/>
    </row>
    <row r="80" spans="1:26" ht="14.25" x14ac:dyDescent="0.2">
      <c r="A80" s="8"/>
      <c r="B80" s="8"/>
      <c r="C80" s="8"/>
      <c r="D80" s="8"/>
      <c r="E80" s="8"/>
      <c r="F80" s="8"/>
      <c r="G80" s="8"/>
      <c r="H80" s="8"/>
      <c r="I80" s="8"/>
      <c r="J80" s="8"/>
      <c r="K80" s="8"/>
      <c r="L80" s="8"/>
      <c r="M80" s="8"/>
      <c r="N80" s="8"/>
      <c r="O80" s="8"/>
      <c r="P80" s="8"/>
      <c r="Q80" s="8"/>
      <c r="R80" s="8"/>
      <c r="S80" s="8"/>
      <c r="T80" s="8"/>
      <c r="U80" s="8"/>
      <c r="V80" s="8"/>
      <c r="W80" s="49"/>
      <c r="X80" s="49"/>
      <c r="Y80" s="49"/>
      <c r="Z80" s="49"/>
    </row>
    <row r="81" spans="1:26" ht="14.25" x14ac:dyDescent="0.2">
      <c r="A81" s="8"/>
      <c r="B81" s="8"/>
      <c r="C81" s="8"/>
      <c r="D81" s="8"/>
      <c r="E81" s="8"/>
      <c r="F81" s="8"/>
      <c r="G81" s="8"/>
      <c r="H81" s="8"/>
      <c r="I81" s="8"/>
      <c r="J81" s="8"/>
      <c r="K81" s="8"/>
      <c r="L81" s="8"/>
      <c r="M81" s="8"/>
      <c r="N81" s="8"/>
      <c r="O81" s="8"/>
      <c r="P81" s="8"/>
      <c r="Q81" s="8"/>
      <c r="R81" s="8"/>
      <c r="S81" s="8"/>
      <c r="T81" s="8"/>
      <c r="U81" s="8"/>
      <c r="V81" s="8"/>
      <c r="W81" s="49"/>
      <c r="X81" s="49"/>
      <c r="Y81" s="49"/>
      <c r="Z81" s="49"/>
    </row>
    <row r="82" spans="1:26" ht="14.25" x14ac:dyDescent="0.2">
      <c r="A82" s="8"/>
      <c r="B82" s="8"/>
      <c r="C82" s="8"/>
      <c r="D82" s="8"/>
      <c r="E82" s="8"/>
      <c r="F82" s="8"/>
      <c r="G82" s="8"/>
      <c r="H82" s="8"/>
      <c r="I82" s="8"/>
      <c r="J82" s="8"/>
      <c r="K82" s="8"/>
      <c r="L82" s="8"/>
      <c r="M82" s="8"/>
      <c r="N82" s="8"/>
      <c r="O82" s="8"/>
      <c r="P82" s="8"/>
      <c r="Q82" s="8"/>
      <c r="R82" s="8"/>
      <c r="S82" s="8"/>
      <c r="T82" s="8"/>
      <c r="U82" s="8"/>
      <c r="V82" s="8"/>
      <c r="W82" s="49"/>
      <c r="X82" s="49"/>
      <c r="Y82" s="49"/>
      <c r="Z82" s="49"/>
    </row>
    <row r="83" spans="1:26" ht="14.25" x14ac:dyDescent="0.2">
      <c r="A83" s="8"/>
      <c r="B83" s="8"/>
      <c r="C83" s="8"/>
      <c r="D83" s="8"/>
      <c r="E83" s="8"/>
      <c r="F83" s="8"/>
      <c r="G83" s="8"/>
      <c r="H83" s="8"/>
      <c r="I83" s="8"/>
      <c r="J83" s="8"/>
      <c r="K83" s="8"/>
      <c r="L83" s="8"/>
      <c r="M83" s="8"/>
      <c r="N83" s="8"/>
      <c r="O83" s="8"/>
      <c r="P83" s="8"/>
      <c r="Q83" s="8"/>
      <c r="R83" s="8"/>
      <c r="S83" s="8"/>
      <c r="T83" s="8"/>
      <c r="U83" s="8"/>
      <c r="V83" s="8"/>
      <c r="W83" s="49"/>
      <c r="X83" s="49"/>
      <c r="Y83" s="49"/>
      <c r="Z83" s="49"/>
    </row>
    <row r="84" spans="1:26" ht="14.25" x14ac:dyDescent="0.2">
      <c r="A84" s="8"/>
      <c r="B84" s="8"/>
      <c r="C84" s="8"/>
      <c r="D84" s="8"/>
      <c r="E84" s="8"/>
      <c r="F84" s="8"/>
      <c r="G84" s="8"/>
      <c r="H84" s="8"/>
      <c r="I84" s="8"/>
      <c r="J84" s="8"/>
      <c r="K84" s="8"/>
      <c r="L84" s="8"/>
      <c r="M84" s="8"/>
      <c r="N84" s="8"/>
      <c r="O84" s="8"/>
      <c r="P84" s="8"/>
      <c r="Q84" s="8"/>
      <c r="R84" s="8"/>
      <c r="S84" s="8"/>
      <c r="T84" s="8"/>
      <c r="U84" s="8"/>
      <c r="V84" s="8"/>
      <c r="W84" s="49"/>
      <c r="X84" s="49"/>
      <c r="Y84" s="49"/>
      <c r="Z84" s="49"/>
    </row>
    <row r="85" spans="1:26" ht="14.25" x14ac:dyDescent="0.2">
      <c r="A85" s="8"/>
      <c r="B85" s="8"/>
      <c r="C85" s="8"/>
      <c r="D85" s="8"/>
      <c r="E85" s="8"/>
      <c r="F85" s="8"/>
      <c r="G85" s="8"/>
      <c r="H85" s="8"/>
      <c r="I85" s="8"/>
      <c r="J85" s="8"/>
      <c r="K85" s="8"/>
      <c r="L85" s="8"/>
      <c r="M85" s="8"/>
      <c r="N85" s="8"/>
      <c r="O85" s="8"/>
      <c r="P85" s="8"/>
      <c r="Q85" s="8"/>
      <c r="R85" s="8"/>
      <c r="S85" s="8"/>
      <c r="T85" s="8"/>
      <c r="U85" s="8"/>
      <c r="V85" s="8"/>
      <c r="W85" s="49"/>
      <c r="X85" s="49"/>
      <c r="Y85" s="49"/>
      <c r="Z85" s="49"/>
    </row>
    <row r="86" spans="1:26" ht="14.25" x14ac:dyDescent="0.2">
      <c r="A86" s="8"/>
      <c r="B86" s="8"/>
      <c r="C86" s="8"/>
      <c r="D86" s="8"/>
      <c r="E86" s="8"/>
      <c r="F86" s="8"/>
      <c r="G86" s="8"/>
      <c r="H86" s="8"/>
      <c r="I86" s="8"/>
      <c r="J86" s="8"/>
      <c r="K86" s="8"/>
      <c r="L86" s="8"/>
      <c r="M86" s="8"/>
      <c r="N86" s="8"/>
      <c r="O86" s="8"/>
      <c r="P86" s="8"/>
      <c r="Q86" s="8"/>
      <c r="R86" s="8"/>
      <c r="S86" s="8"/>
      <c r="T86" s="8"/>
      <c r="U86" s="8"/>
      <c r="V86" s="8"/>
      <c r="W86" s="49"/>
      <c r="X86" s="49"/>
      <c r="Y86" s="49"/>
      <c r="Z86" s="49"/>
    </row>
    <row r="87" spans="1:26" ht="14.25" x14ac:dyDescent="0.2">
      <c r="A87" s="8"/>
      <c r="B87" s="8"/>
      <c r="C87" s="8"/>
      <c r="D87" s="8"/>
      <c r="E87" s="8"/>
      <c r="F87" s="8"/>
      <c r="G87" s="8"/>
      <c r="H87" s="8"/>
      <c r="I87" s="8"/>
      <c r="J87" s="8"/>
      <c r="K87" s="8"/>
      <c r="L87" s="8"/>
      <c r="M87" s="8"/>
      <c r="N87" s="8"/>
      <c r="O87" s="8"/>
      <c r="P87" s="8"/>
      <c r="Q87" s="8"/>
      <c r="R87" s="8"/>
      <c r="S87" s="8"/>
      <c r="T87" s="8"/>
      <c r="U87" s="8"/>
      <c r="V87" s="8"/>
      <c r="W87" s="49"/>
      <c r="X87" s="49"/>
      <c r="Y87" s="49"/>
      <c r="Z87" s="49"/>
    </row>
    <row r="88" spans="1:26" ht="14.25" x14ac:dyDescent="0.2">
      <c r="A88" s="8"/>
      <c r="B88" s="8"/>
      <c r="C88" s="8"/>
      <c r="D88" s="8"/>
      <c r="E88" s="8"/>
      <c r="F88" s="8"/>
      <c r="G88" s="8"/>
      <c r="H88" s="8"/>
      <c r="I88" s="8"/>
      <c r="J88" s="8"/>
      <c r="K88" s="8"/>
      <c r="L88" s="8"/>
      <c r="M88" s="8"/>
      <c r="N88" s="8"/>
      <c r="O88" s="8"/>
      <c r="P88" s="8"/>
      <c r="Q88" s="8"/>
      <c r="R88" s="8"/>
      <c r="S88" s="8"/>
      <c r="T88" s="8"/>
      <c r="U88" s="8"/>
      <c r="V88" s="8"/>
      <c r="W88" s="49"/>
      <c r="X88" s="49"/>
      <c r="Y88" s="49"/>
      <c r="Z88" s="49"/>
    </row>
    <row r="89" spans="1:26" ht="14.25" x14ac:dyDescent="0.2">
      <c r="A89" s="8"/>
      <c r="B89" s="8"/>
      <c r="C89" s="8"/>
      <c r="D89" s="8"/>
      <c r="E89" s="8"/>
      <c r="F89" s="8"/>
      <c r="G89" s="8"/>
      <c r="H89" s="8"/>
      <c r="I89" s="8"/>
      <c r="J89" s="8"/>
      <c r="K89" s="8"/>
      <c r="L89" s="8"/>
      <c r="M89" s="8"/>
      <c r="N89" s="8"/>
      <c r="O89" s="8"/>
      <c r="P89" s="8"/>
      <c r="Q89" s="8"/>
      <c r="R89" s="8"/>
      <c r="S89" s="8"/>
      <c r="T89" s="8"/>
      <c r="U89" s="8"/>
      <c r="V89" s="8"/>
      <c r="W89" s="49"/>
      <c r="X89" s="49"/>
      <c r="Y89" s="49"/>
      <c r="Z89" s="49"/>
    </row>
    <row r="90" spans="1:26" ht="14.25" x14ac:dyDescent="0.2">
      <c r="A90" s="8"/>
      <c r="B90" s="8"/>
      <c r="C90" s="8"/>
      <c r="D90" s="8"/>
      <c r="E90" s="8"/>
      <c r="F90" s="8"/>
      <c r="G90" s="8"/>
      <c r="H90" s="8"/>
      <c r="I90" s="8"/>
      <c r="J90" s="8"/>
      <c r="K90" s="8"/>
      <c r="L90" s="8"/>
      <c r="M90" s="8"/>
      <c r="N90" s="8"/>
      <c r="O90" s="8"/>
      <c r="P90" s="8"/>
      <c r="Q90" s="8"/>
      <c r="R90" s="8"/>
      <c r="S90" s="8"/>
      <c r="T90" s="8"/>
      <c r="U90" s="8"/>
      <c r="V90" s="8"/>
      <c r="W90" s="49"/>
      <c r="X90" s="49"/>
      <c r="Y90" s="49"/>
      <c r="Z90" s="49"/>
    </row>
    <row r="91" spans="1:26" ht="14.25" x14ac:dyDescent="0.2">
      <c r="A91" s="8"/>
      <c r="B91" s="8"/>
      <c r="C91" s="8"/>
      <c r="D91" s="8"/>
      <c r="E91" s="8"/>
      <c r="F91" s="8"/>
      <c r="G91" s="8"/>
      <c r="H91" s="8"/>
      <c r="I91" s="8"/>
      <c r="J91" s="8"/>
      <c r="K91" s="8"/>
      <c r="L91" s="8"/>
      <c r="M91" s="8"/>
      <c r="N91" s="8"/>
      <c r="O91" s="8"/>
      <c r="P91" s="8"/>
      <c r="Q91" s="8"/>
      <c r="R91" s="8"/>
      <c r="S91" s="8"/>
      <c r="T91" s="8"/>
      <c r="U91" s="8"/>
      <c r="V91" s="8"/>
      <c r="W91" s="49"/>
      <c r="X91" s="49"/>
      <c r="Y91" s="49"/>
      <c r="Z91" s="49"/>
    </row>
    <row r="92" spans="1:26" ht="14.25" x14ac:dyDescent="0.2">
      <c r="A92" s="8"/>
      <c r="B92" s="8"/>
      <c r="C92" s="8"/>
      <c r="D92" s="8"/>
      <c r="E92" s="8"/>
      <c r="F92" s="8"/>
      <c r="G92" s="8"/>
      <c r="H92" s="8"/>
      <c r="I92" s="8"/>
      <c r="J92" s="8"/>
      <c r="K92" s="8"/>
      <c r="L92" s="8"/>
      <c r="M92" s="8"/>
      <c r="N92" s="8"/>
      <c r="O92" s="8"/>
      <c r="P92" s="8"/>
      <c r="Q92" s="8"/>
      <c r="R92" s="8"/>
      <c r="S92" s="8"/>
      <c r="T92" s="8"/>
      <c r="U92" s="8"/>
      <c r="V92" s="8"/>
      <c r="W92" s="49"/>
      <c r="X92" s="49"/>
      <c r="Y92" s="49"/>
      <c r="Z92" s="49"/>
    </row>
    <row r="93" spans="1:26" ht="14.25" x14ac:dyDescent="0.2">
      <c r="A93" s="8"/>
      <c r="B93" s="8"/>
      <c r="C93" s="8"/>
      <c r="D93" s="8"/>
      <c r="E93" s="8"/>
      <c r="F93" s="8"/>
      <c r="G93" s="8"/>
      <c r="H93" s="8"/>
      <c r="I93" s="8"/>
      <c r="J93" s="8"/>
      <c r="K93" s="8"/>
      <c r="L93" s="8"/>
      <c r="M93" s="8"/>
      <c r="N93" s="8"/>
      <c r="O93" s="8"/>
      <c r="P93" s="8"/>
      <c r="Q93" s="8"/>
      <c r="R93" s="8"/>
      <c r="S93" s="8"/>
      <c r="T93" s="8"/>
      <c r="U93" s="8"/>
      <c r="V93" s="8"/>
      <c r="W93" s="49"/>
      <c r="X93" s="49"/>
      <c r="Y93" s="49"/>
      <c r="Z93" s="49"/>
    </row>
    <row r="94" spans="1:26" ht="14.25" x14ac:dyDescent="0.2">
      <c r="A94" s="8"/>
      <c r="B94" s="8"/>
      <c r="C94" s="8"/>
      <c r="D94" s="8"/>
      <c r="E94" s="8"/>
      <c r="F94" s="8"/>
      <c r="G94" s="8"/>
      <c r="H94" s="8"/>
      <c r="I94" s="8"/>
      <c r="J94" s="8"/>
      <c r="K94" s="8"/>
      <c r="L94" s="8"/>
      <c r="M94" s="8"/>
      <c r="N94" s="8"/>
      <c r="O94" s="8"/>
      <c r="P94" s="8"/>
      <c r="Q94" s="8"/>
      <c r="R94" s="8"/>
      <c r="S94" s="8"/>
      <c r="T94" s="8"/>
      <c r="U94" s="8"/>
      <c r="V94" s="8"/>
      <c r="W94" s="49"/>
      <c r="X94" s="49"/>
      <c r="Y94" s="49"/>
      <c r="Z94" s="49"/>
    </row>
    <row r="95" spans="1:26" ht="14.25" x14ac:dyDescent="0.2">
      <c r="A95" s="8"/>
      <c r="B95" s="8"/>
      <c r="C95" s="8"/>
      <c r="D95" s="8"/>
      <c r="E95" s="8"/>
      <c r="F95" s="8"/>
      <c r="G95" s="8"/>
      <c r="H95" s="8"/>
      <c r="I95" s="8"/>
      <c r="J95" s="8"/>
      <c r="K95" s="8"/>
      <c r="L95" s="8"/>
      <c r="M95" s="8"/>
      <c r="N95" s="8"/>
      <c r="O95" s="8"/>
      <c r="P95" s="8"/>
      <c r="Q95" s="8"/>
      <c r="R95" s="8"/>
      <c r="S95" s="8"/>
      <c r="T95" s="8"/>
      <c r="U95" s="8"/>
      <c r="V95" s="8"/>
      <c r="W95" s="49"/>
      <c r="X95" s="49"/>
      <c r="Y95" s="49"/>
      <c r="Z95" s="49"/>
    </row>
    <row r="96" spans="1:26" ht="14.25" x14ac:dyDescent="0.2">
      <c r="A96" s="8"/>
      <c r="B96" s="8"/>
      <c r="C96" s="8"/>
      <c r="D96" s="8"/>
      <c r="E96" s="8"/>
      <c r="F96" s="8"/>
      <c r="G96" s="8"/>
      <c r="H96" s="8"/>
      <c r="I96" s="8"/>
      <c r="J96" s="8"/>
      <c r="K96" s="8"/>
      <c r="L96" s="8"/>
      <c r="M96" s="8"/>
      <c r="N96" s="8"/>
      <c r="O96" s="8"/>
      <c r="P96" s="8"/>
      <c r="Q96" s="8"/>
      <c r="R96" s="8"/>
      <c r="S96" s="8"/>
      <c r="T96" s="8"/>
      <c r="U96" s="8"/>
      <c r="V96" s="8"/>
      <c r="W96" s="49"/>
      <c r="X96" s="49"/>
      <c r="Y96" s="49"/>
      <c r="Z96" s="49"/>
    </row>
    <row r="97" spans="1:26" ht="14.25" x14ac:dyDescent="0.2">
      <c r="A97" s="8"/>
      <c r="B97" s="8"/>
      <c r="C97" s="8"/>
      <c r="D97" s="8"/>
      <c r="E97" s="8"/>
      <c r="F97" s="8"/>
      <c r="G97" s="8"/>
      <c r="H97" s="8"/>
      <c r="I97" s="8"/>
      <c r="J97" s="8"/>
      <c r="K97" s="8"/>
      <c r="L97" s="8"/>
      <c r="M97" s="8"/>
      <c r="N97" s="8"/>
      <c r="O97" s="8"/>
      <c r="P97" s="8"/>
      <c r="Q97" s="8"/>
      <c r="R97" s="8"/>
      <c r="S97" s="8"/>
      <c r="T97" s="8"/>
      <c r="U97" s="8"/>
      <c r="V97" s="8"/>
      <c r="W97" s="49"/>
      <c r="X97" s="49"/>
      <c r="Y97" s="49"/>
      <c r="Z97" s="49"/>
    </row>
    <row r="98" spans="1:26" ht="14.25" x14ac:dyDescent="0.2">
      <c r="A98" s="8"/>
      <c r="B98" s="8"/>
      <c r="C98" s="8"/>
      <c r="D98" s="8"/>
      <c r="E98" s="8"/>
      <c r="F98" s="8"/>
      <c r="G98" s="8"/>
      <c r="H98" s="8"/>
      <c r="I98" s="8"/>
      <c r="J98" s="8"/>
      <c r="K98" s="8"/>
      <c r="L98" s="8"/>
      <c r="M98" s="8"/>
      <c r="N98" s="8"/>
      <c r="O98" s="8"/>
      <c r="P98" s="8"/>
      <c r="Q98" s="8"/>
      <c r="R98" s="8"/>
      <c r="S98" s="8"/>
      <c r="T98" s="8"/>
      <c r="U98" s="8"/>
      <c r="V98" s="8"/>
      <c r="W98" s="49"/>
      <c r="X98" s="49"/>
      <c r="Y98" s="49"/>
      <c r="Z98" s="49"/>
    </row>
    <row r="99" spans="1:26" ht="14.25" x14ac:dyDescent="0.2">
      <c r="A99" s="8"/>
      <c r="B99" s="8"/>
      <c r="C99" s="8"/>
      <c r="D99" s="8"/>
      <c r="E99" s="8"/>
      <c r="F99" s="8"/>
      <c r="G99" s="8"/>
      <c r="H99" s="8"/>
      <c r="I99" s="8"/>
      <c r="J99" s="8"/>
      <c r="K99" s="8"/>
      <c r="L99" s="8"/>
      <c r="M99" s="8"/>
      <c r="N99" s="8"/>
      <c r="O99" s="8"/>
      <c r="P99" s="8"/>
      <c r="Q99" s="8"/>
      <c r="R99" s="8"/>
      <c r="S99" s="8"/>
      <c r="T99" s="8"/>
      <c r="U99" s="8"/>
      <c r="V99" s="8"/>
      <c r="W99" s="49"/>
      <c r="X99" s="49"/>
      <c r="Y99" s="49"/>
      <c r="Z99" s="49"/>
    </row>
    <row r="100" spans="1:26" ht="14.25" x14ac:dyDescent="0.2">
      <c r="A100" s="8"/>
      <c r="B100" s="8"/>
      <c r="C100" s="8"/>
      <c r="D100" s="8"/>
      <c r="E100" s="8"/>
      <c r="F100" s="8"/>
      <c r="G100" s="8"/>
      <c r="H100" s="8"/>
      <c r="I100" s="8"/>
      <c r="J100" s="8"/>
      <c r="K100" s="8"/>
      <c r="L100" s="8"/>
      <c r="M100" s="8"/>
      <c r="N100" s="8"/>
      <c r="O100" s="8"/>
      <c r="P100" s="8"/>
      <c r="Q100" s="8"/>
      <c r="R100" s="8"/>
      <c r="S100" s="8"/>
      <c r="T100" s="8"/>
      <c r="U100" s="8"/>
      <c r="V100" s="8"/>
      <c r="W100" s="49"/>
      <c r="X100" s="49"/>
      <c r="Y100" s="49"/>
      <c r="Z100" s="49"/>
    </row>
    <row r="101" spans="1:26" ht="14.25" x14ac:dyDescent="0.2">
      <c r="A101" s="8"/>
      <c r="B101" s="8"/>
      <c r="C101" s="8"/>
      <c r="D101" s="8"/>
      <c r="E101" s="8"/>
      <c r="F101" s="8"/>
      <c r="G101" s="8"/>
      <c r="H101" s="8"/>
      <c r="I101" s="8"/>
      <c r="J101" s="8"/>
      <c r="K101" s="8"/>
      <c r="L101" s="8"/>
      <c r="M101" s="8"/>
      <c r="N101" s="8"/>
      <c r="O101" s="8"/>
      <c r="P101" s="8"/>
      <c r="Q101" s="8"/>
      <c r="R101" s="8"/>
      <c r="S101" s="8"/>
      <c r="T101" s="8"/>
      <c r="U101" s="8"/>
      <c r="V101" s="8"/>
      <c r="W101" s="49"/>
      <c r="X101" s="49"/>
      <c r="Y101" s="49"/>
      <c r="Z101" s="49"/>
    </row>
    <row r="102" spans="1:26" ht="14.25" x14ac:dyDescent="0.2">
      <c r="A102" s="8"/>
      <c r="B102" s="8"/>
      <c r="C102" s="8"/>
      <c r="D102" s="8"/>
      <c r="E102" s="8"/>
      <c r="F102" s="8"/>
      <c r="G102" s="8"/>
      <c r="H102" s="8"/>
      <c r="I102" s="8"/>
      <c r="J102" s="8"/>
      <c r="K102" s="8"/>
      <c r="L102" s="8"/>
      <c r="M102" s="8"/>
      <c r="N102" s="8"/>
      <c r="O102" s="8"/>
      <c r="P102" s="8"/>
      <c r="Q102" s="8"/>
      <c r="R102" s="8"/>
      <c r="S102" s="8"/>
      <c r="T102" s="8"/>
      <c r="U102" s="8"/>
      <c r="V102" s="8"/>
      <c r="W102" s="49"/>
      <c r="X102" s="49"/>
      <c r="Y102" s="49"/>
      <c r="Z102" s="49"/>
    </row>
    <row r="103" spans="1:26" ht="14.25" x14ac:dyDescent="0.2">
      <c r="A103" s="8"/>
      <c r="B103" s="8"/>
      <c r="C103" s="8"/>
      <c r="D103" s="8"/>
      <c r="E103" s="8"/>
      <c r="F103" s="8"/>
      <c r="G103" s="8"/>
      <c r="H103" s="8"/>
      <c r="I103" s="8"/>
      <c r="J103" s="8"/>
      <c r="K103" s="8"/>
      <c r="L103" s="8"/>
      <c r="M103" s="8"/>
      <c r="N103" s="8"/>
      <c r="O103" s="8"/>
      <c r="P103" s="8"/>
      <c r="Q103" s="8"/>
      <c r="R103" s="8"/>
      <c r="S103" s="8"/>
      <c r="T103" s="8"/>
      <c r="U103" s="8"/>
      <c r="V103" s="8"/>
      <c r="W103" s="49"/>
      <c r="X103" s="49"/>
      <c r="Y103" s="49"/>
      <c r="Z103" s="49"/>
    </row>
    <row r="104" spans="1:26" ht="14.25" x14ac:dyDescent="0.2">
      <c r="A104" s="8"/>
      <c r="B104" s="8"/>
      <c r="C104" s="8"/>
      <c r="D104" s="8"/>
      <c r="E104" s="8"/>
      <c r="F104" s="8"/>
      <c r="G104" s="8"/>
      <c r="H104" s="8"/>
      <c r="I104" s="8"/>
      <c r="J104" s="8"/>
      <c r="K104" s="8"/>
      <c r="L104" s="8"/>
      <c r="M104" s="8"/>
      <c r="N104" s="8"/>
      <c r="O104" s="8"/>
      <c r="P104" s="8"/>
      <c r="Q104" s="8"/>
      <c r="R104" s="8"/>
      <c r="S104" s="8"/>
      <c r="T104" s="8"/>
      <c r="U104" s="8"/>
      <c r="V104" s="8"/>
      <c r="W104" s="49"/>
      <c r="X104" s="49"/>
      <c r="Y104" s="49"/>
      <c r="Z104" s="49"/>
    </row>
    <row r="105" spans="1:26" ht="14.25" x14ac:dyDescent="0.2">
      <c r="A105" s="8"/>
      <c r="B105" s="8"/>
      <c r="C105" s="8"/>
      <c r="D105" s="8"/>
      <c r="E105" s="8"/>
      <c r="F105" s="8"/>
      <c r="G105" s="8"/>
      <c r="H105" s="8"/>
      <c r="I105" s="8"/>
      <c r="J105" s="8"/>
      <c r="K105" s="8"/>
      <c r="L105" s="8"/>
      <c r="M105" s="8"/>
      <c r="N105" s="8"/>
      <c r="O105" s="8"/>
      <c r="P105" s="8"/>
      <c r="Q105" s="8"/>
      <c r="R105" s="8"/>
      <c r="S105" s="8"/>
      <c r="T105" s="8"/>
      <c r="U105" s="8"/>
      <c r="V105" s="8"/>
      <c r="W105" s="49"/>
      <c r="X105" s="49"/>
      <c r="Y105" s="49"/>
      <c r="Z105" s="49"/>
    </row>
    <row r="106" spans="1:26" ht="14.25" x14ac:dyDescent="0.2">
      <c r="A106" s="8"/>
      <c r="B106" s="8"/>
      <c r="C106" s="8"/>
      <c r="D106" s="8"/>
      <c r="E106" s="8"/>
      <c r="F106" s="8"/>
      <c r="G106" s="8"/>
      <c r="H106" s="8"/>
      <c r="I106" s="8"/>
      <c r="J106" s="8"/>
      <c r="K106" s="8"/>
      <c r="L106" s="8"/>
      <c r="M106" s="8"/>
      <c r="N106" s="8"/>
      <c r="O106" s="8"/>
      <c r="P106" s="8"/>
      <c r="Q106" s="8"/>
      <c r="R106" s="8"/>
      <c r="S106" s="8"/>
      <c r="T106" s="8"/>
      <c r="U106" s="8"/>
      <c r="V106" s="8"/>
      <c r="W106" s="49"/>
      <c r="X106" s="49"/>
      <c r="Y106" s="49"/>
      <c r="Z106" s="49"/>
    </row>
    <row r="107" spans="1:26" ht="14.25" x14ac:dyDescent="0.2">
      <c r="A107" s="8"/>
      <c r="B107" s="8"/>
      <c r="C107" s="8"/>
      <c r="D107" s="8"/>
      <c r="E107" s="8"/>
      <c r="F107" s="8"/>
      <c r="G107" s="8"/>
      <c r="H107" s="8"/>
      <c r="I107" s="8"/>
      <c r="J107" s="8"/>
      <c r="K107" s="8"/>
      <c r="L107" s="8"/>
      <c r="M107" s="8"/>
      <c r="N107" s="8"/>
      <c r="O107" s="8"/>
      <c r="P107" s="8"/>
      <c r="Q107" s="8"/>
      <c r="R107" s="8"/>
      <c r="S107" s="8"/>
      <c r="T107" s="8"/>
      <c r="U107" s="8"/>
      <c r="V107" s="8"/>
      <c r="W107" s="49"/>
      <c r="X107" s="49"/>
      <c r="Y107" s="49"/>
      <c r="Z107" s="49"/>
    </row>
    <row r="108" spans="1:26" ht="14.25" x14ac:dyDescent="0.2">
      <c r="A108" s="8"/>
      <c r="B108" s="8"/>
      <c r="C108" s="8"/>
      <c r="D108" s="8"/>
      <c r="E108" s="8"/>
      <c r="F108" s="8"/>
      <c r="G108" s="8"/>
      <c r="H108" s="8"/>
      <c r="I108" s="8"/>
      <c r="J108" s="8"/>
      <c r="K108" s="8"/>
      <c r="L108" s="8"/>
      <c r="M108" s="8"/>
      <c r="N108" s="8"/>
      <c r="O108" s="8"/>
      <c r="P108" s="8"/>
      <c r="Q108" s="8"/>
      <c r="R108" s="8"/>
      <c r="S108" s="8"/>
      <c r="T108" s="8"/>
      <c r="U108" s="8"/>
      <c r="V108" s="8"/>
      <c r="W108" s="49"/>
      <c r="X108" s="49"/>
      <c r="Y108" s="49"/>
      <c r="Z108" s="49"/>
    </row>
    <row r="109" spans="1:26" ht="14.25" x14ac:dyDescent="0.2">
      <c r="A109" s="8"/>
      <c r="B109" s="8"/>
      <c r="C109" s="8"/>
      <c r="D109" s="8"/>
      <c r="E109" s="8"/>
      <c r="F109" s="8"/>
      <c r="G109" s="8"/>
      <c r="H109" s="8"/>
      <c r="I109" s="8"/>
      <c r="J109" s="8"/>
      <c r="K109" s="8"/>
      <c r="L109" s="8"/>
      <c r="M109" s="8"/>
      <c r="N109" s="8"/>
      <c r="O109" s="8"/>
      <c r="P109" s="8"/>
      <c r="Q109" s="8"/>
      <c r="R109" s="8"/>
      <c r="S109" s="8"/>
      <c r="T109" s="8"/>
      <c r="U109" s="8"/>
      <c r="V109" s="8"/>
      <c r="W109" s="49"/>
      <c r="X109" s="49"/>
      <c r="Y109" s="49"/>
      <c r="Z109" s="49"/>
    </row>
    <row r="110" spans="1:26" ht="14.25" x14ac:dyDescent="0.2">
      <c r="A110" s="8"/>
      <c r="B110" s="8"/>
      <c r="C110" s="8"/>
      <c r="D110" s="8"/>
      <c r="E110" s="8"/>
      <c r="F110" s="8"/>
      <c r="G110" s="8"/>
      <c r="H110" s="8"/>
      <c r="I110" s="8"/>
      <c r="J110" s="8"/>
      <c r="K110" s="8"/>
      <c r="L110" s="8"/>
      <c r="M110" s="8"/>
      <c r="N110" s="8"/>
      <c r="O110" s="8"/>
      <c r="P110" s="8"/>
      <c r="Q110" s="8"/>
      <c r="R110" s="8"/>
      <c r="S110" s="8"/>
      <c r="T110" s="8"/>
      <c r="U110" s="8"/>
      <c r="V110" s="8"/>
      <c r="W110" s="49"/>
      <c r="X110" s="49"/>
      <c r="Y110" s="49"/>
      <c r="Z110" s="49"/>
    </row>
    <row r="111" spans="1:26" ht="14.25" x14ac:dyDescent="0.2">
      <c r="A111" s="8"/>
      <c r="B111" s="8"/>
      <c r="C111" s="8"/>
      <c r="D111" s="8"/>
      <c r="E111" s="8"/>
      <c r="F111" s="8"/>
      <c r="G111" s="8"/>
      <c r="H111" s="8"/>
      <c r="I111" s="8"/>
      <c r="J111" s="8"/>
      <c r="K111" s="8"/>
      <c r="L111" s="8"/>
      <c r="M111" s="8"/>
      <c r="N111" s="8"/>
      <c r="O111" s="8"/>
      <c r="P111" s="8"/>
      <c r="Q111" s="8"/>
      <c r="R111" s="8"/>
      <c r="S111" s="8"/>
      <c r="T111" s="8"/>
      <c r="U111" s="8"/>
      <c r="V111" s="8"/>
      <c r="W111" s="49"/>
      <c r="X111" s="49"/>
      <c r="Y111" s="49"/>
      <c r="Z111" s="49"/>
    </row>
    <row r="112" spans="1:26" ht="14.25" x14ac:dyDescent="0.2">
      <c r="A112" s="8"/>
      <c r="B112" s="8"/>
      <c r="C112" s="8"/>
      <c r="D112" s="8"/>
      <c r="E112" s="8"/>
      <c r="F112" s="8"/>
      <c r="G112" s="8"/>
      <c r="H112" s="8"/>
      <c r="I112" s="8"/>
      <c r="J112" s="8"/>
      <c r="K112" s="8"/>
      <c r="L112" s="8"/>
      <c r="M112" s="8"/>
      <c r="N112" s="8"/>
      <c r="O112" s="8"/>
      <c r="P112" s="8"/>
      <c r="Q112" s="8"/>
      <c r="R112" s="8"/>
      <c r="S112" s="8"/>
      <c r="T112" s="8"/>
      <c r="U112" s="8"/>
      <c r="V112" s="8"/>
      <c r="W112" s="49"/>
      <c r="X112" s="49"/>
      <c r="Y112" s="49"/>
      <c r="Z112" s="49"/>
    </row>
    <row r="113" spans="1:26" ht="14.25" x14ac:dyDescent="0.2">
      <c r="A113" s="8"/>
      <c r="B113" s="8"/>
      <c r="C113" s="8"/>
      <c r="D113" s="8"/>
      <c r="E113" s="8"/>
      <c r="F113" s="8"/>
      <c r="G113" s="8"/>
      <c r="H113" s="8"/>
      <c r="I113" s="8"/>
      <c r="J113" s="8"/>
      <c r="K113" s="8"/>
      <c r="L113" s="8"/>
      <c r="M113" s="8"/>
      <c r="N113" s="8"/>
      <c r="O113" s="8"/>
      <c r="P113" s="8"/>
      <c r="Q113" s="8"/>
      <c r="R113" s="8"/>
      <c r="S113" s="8"/>
      <c r="T113" s="8"/>
      <c r="U113" s="8"/>
      <c r="V113" s="8"/>
      <c r="W113" s="49"/>
      <c r="X113" s="49"/>
      <c r="Y113" s="49"/>
      <c r="Z113" s="49"/>
    </row>
    <row r="114" spans="1:26" ht="14.25" x14ac:dyDescent="0.2">
      <c r="A114" s="8"/>
      <c r="B114" s="8"/>
      <c r="C114" s="8"/>
      <c r="D114" s="8"/>
      <c r="E114" s="8"/>
      <c r="F114" s="8"/>
      <c r="G114" s="8"/>
      <c r="H114" s="8"/>
      <c r="I114" s="8"/>
      <c r="J114" s="8"/>
      <c r="K114" s="8"/>
      <c r="L114" s="8"/>
      <c r="M114" s="8"/>
      <c r="N114" s="8"/>
      <c r="O114" s="8"/>
      <c r="P114" s="8"/>
      <c r="Q114" s="8"/>
      <c r="R114" s="8"/>
      <c r="S114" s="8"/>
      <c r="T114" s="8"/>
      <c r="U114" s="8"/>
      <c r="V114" s="8"/>
      <c r="W114" s="49"/>
      <c r="X114" s="49"/>
      <c r="Y114" s="49"/>
      <c r="Z114" s="49"/>
    </row>
    <row r="115" spans="1:26" ht="14.25" x14ac:dyDescent="0.2">
      <c r="A115" s="8"/>
      <c r="B115" s="8"/>
      <c r="C115" s="8"/>
      <c r="D115" s="8"/>
      <c r="E115" s="8"/>
      <c r="F115" s="8"/>
      <c r="G115" s="8"/>
      <c r="H115" s="8"/>
      <c r="I115" s="8"/>
      <c r="J115" s="8"/>
      <c r="K115" s="8"/>
      <c r="L115" s="8"/>
      <c r="M115" s="8"/>
      <c r="N115" s="8"/>
      <c r="O115" s="8"/>
      <c r="P115" s="8"/>
      <c r="Q115" s="8"/>
      <c r="R115" s="8"/>
      <c r="S115" s="8"/>
      <c r="T115" s="8"/>
      <c r="U115" s="8"/>
      <c r="V115" s="8"/>
      <c r="W115" s="49"/>
      <c r="X115" s="49"/>
      <c r="Y115" s="49"/>
      <c r="Z115" s="49"/>
    </row>
    <row r="116" spans="1:26" ht="14.25" x14ac:dyDescent="0.2">
      <c r="A116" s="8"/>
      <c r="B116" s="8"/>
      <c r="C116" s="8"/>
      <c r="D116" s="8"/>
      <c r="E116" s="8"/>
      <c r="F116" s="8"/>
      <c r="G116" s="8"/>
      <c r="H116" s="8"/>
      <c r="I116" s="8"/>
      <c r="J116" s="8"/>
      <c r="K116" s="8"/>
      <c r="L116" s="8"/>
      <c r="M116" s="8"/>
      <c r="N116" s="8"/>
      <c r="O116" s="8"/>
      <c r="P116" s="8"/>
      <c r="Q116" s="8"/>
      <c r="R116" s="8"/>
      <c r="S116" s="8"/>
      <c r="T116" s="8"/>
      <c r="U116" s="8"/>
      <c r="V116" s="8"/>
      <c r="W116" s="49"/>
      <c r="X116" s="49"/>
      <c r="Y116" s="49"/>
      <c r="Z116" s="49"/>
    </row>
    <row r="117" spans="1:26" ht="14.25" x14ac:dyDescent="0.2">
      <c r="A117" s="8"/>
      <c r="B117" s="8"/>
      <c r="C117" s="8"/>
      <c r="D117" s="8"/>
      <c r="E117" s="8"/>
      <c r="F117" s="8"/>
      <c r="G117" s="8"/>
      <c r="H117" s="8"/>
      <c r="I117" s="8"/>
      <c r="J117" s="8"/>
      <c r="K117" s="8"/>
      <c r="L117" s="8"/>
      <c r="M117" s="8"/>
      <c r="N117" s="8"/>
      <c r="O117" s="8"/>
      <c r="P117" s="8"/>
      <c r="Q117" s="8"/>
      <c r="R117" s="8"/>
      <c r="S117" s="8"/>
      <c r="T117" s="8"/>
      <c r="U117" s="8"/>
      <c r="V117" s="8"/>
      <c r="W117" s="49"/>
      <c r="X117" s="49"/>
      <c r="Y117" s="49"/>
      <c r="Z117" s="49"/>
    </row>
    <row r="118" spans="1:26" ht="14.25" x14ac:dyDescent="0.2">
      <c r="A118" s="8"/>
      <c r="B118" s="8"/>
      <c r="C118" s="8"/>
      <c r="D118" s="8"/>
      <c r="E118" s="8"/>
      <c r="F118" s="8"/>
      <c r="G118" s="8"/>
      <c r="H118" s="8"/>
      <c r="I118" s="8"/>
      <c r="J118" s="8"/>
      <c r="K118" s="8"/>
      <c r="L118" s="8"/>
      <c r="M118" s="8"/>
      <c r="N118" s="8"/>
      <c r="O118" s="8"/>
      <c r="P118" s="8"/>
      <c r="Q118" s="8"/>
      <c r="R118" s="8"/>
      <c r="S118" s="8"/>
      <c r="T118" s="8"/>
      <c r="U118" s="8"/>
      <c r="V118" s="8"/>
      <c r="W118" s="49"/>
      <c r="X118" s="49"/>
      <c r="Y118" s="49"/>
      <c r="Z118" s="49"/>
    </row>
    <row r="119" spans="1:26" ht="14.25" x14ac:dyDescent="0.2">
      <c r="A119" s="8"/>
      <c r="B119" s="8"/>
      <c r="C119" s="8"/>
      <c r="D119" s="8"/>
      <c r="E119" s="8"/>
      <c r="F119" s="8"/>
      <c r="G119" s="8"/>
      <c r="H119" s="8"/>
      <c r="I119" s="8"/>
      <c r="J119" s="8"/>
      <c r="K119" s="8"/>
      <c r="L119" s="8"/>
      <c r="M119" s="8"/>
      <c r="N119" s="8"/>
      <c r="O119" s="8"/>
      <c r="P119" s="8"/>
      <c r="Q119" s="8"/>
      <c r="R119" s="8"/>
      <c r="S119" s="8"/>
      <c r="T119" s="8"/>
      <c r="U119" s="8"/>
      <c r="V119" s="8"/>
      <c r="W119" s="49"/>
      <c r="X119" s="49"/>
      <c r="Y119" s="49"/>
      <c r="Z119" s="49"/>
    </row>
    <row r="120" spans="1:26" ht="14.25" x14ac:dyDescent="0.2">
      <c r="A120" s="8"/>
      <c r="B120" s="8"/>
      <c r="C120" s="8"/>
      <c r="D120" s="8"/>
      <c r="E120" s="8"/>
      <c r="F120" s="8"/>
      <c r="G120" s="8"/>
      <c r="H120" s="8"/>
      <c r="I120" s="8"/>
      <c r="J120" s="8"/>
      <c r="K120" s="8"/>
      <c r="L120" s="8"/>
      <c r="M120" s="8"/>
      <c r="N120" s="8"/>
      <c r="O120" s="8"/>
      <c r="P120" s="8"/>
      <c r="Q120" s="8"/>
      <c r="R120" s="8"/>
      <c r="S120" s="8"/>
      <c r="T120" s="8"/>
      <c r="U120" s="8"/>
      <c r="V120" s="8"/>
      <c r="W120" s="49"/>
      <c r="X120" s="49"/>
      <c r="Y120" s="49"/>
      <c r="Z120" s="49"/>
    </row>
    <row r="121" spans="1:26" ht="14.25" x14ac:dyDescent="0.2">
      <c r="A121" s="8"/>
      <c r="B121" s="8"/>
      <c r="C121" s="8"/>
      <c r="D121" s="8"/>
      <c r="E121" s="8"/>
      <c r="F121" s="8"/>
      <c r="G121" s="8"/>
      <c r="H121" s="8"/>
      <c r="I121" s="8"/>
      <c r="J121" s="8"/>
      <c r="K121" s="8"/>
      <c r="L121" s="8"/>
      <c r="M121" s="8"/>
      <c r="N121" s="8"/>
      <c r="O121" s="8"/>
      <c r="P121" s="8"/>
      <c r="Q121" s="8"/>
      <c r="R121" s="8"/>
      <c r="S121" s="8"/>
      <c r="T121" s="8"/>
      <c r="U121" s="8"/>
      <c r="V121" s="8"/>
      <c r="W121" s="49"/>
      <c r="X121" s="49"/>
      <c r="Y121" s="49"/>
      <c r="Z121" s="49"/>
    </row>
    <row r="122" spans="1:26" ht="14.25" x14ac:dyDescent="0.2">
      <c r="A122" s="8"/>
      <c r="B122" s="8"/>
      <c r="C122" s="8"/>
      <c r="D122" s="8"/>
      <c r="E122" s="8"/>
      <c r="F122" s="8"/>
      <c r="G122" s="8"/>
      <c r="H122" s="8"/>
      <c r="I122" s="8"/>
      <c r="J122" s="8"/>
      <c r="K122" s="8"/>
      <c r="L122" s="8"/>
      <c r="M122" s="8"/>
      <c r="N122" s="8"/>
      <c r="O122" s="8"/>
      <c r="P122" s="8"/>
      <c r="Q122" s="8"/>
      <c r="R122" s="8"/>
      <c r="S122" s="8"/>
      <c r="T122" s="8"/>
      <c r="U122" s="8"/>
      <c r="V122" s="8"/>
      <c r="W122" s="49"/>
      <c r="X122" s="49"/>
      <c r="Y122" s="49"/>
      <c r="Z122" s="49"/>
    </row>
    <row r="123" spans="1:26" ht="14.25" x14ac:dyDescent="0.2">
      <c r="A123" s="8"/>
      <c r="B123" s="8"/>
      <c r="C123" s="8"/>
      <c r="D123" s="8"/>
      <c r="E123" s="8"/>
      <c r="F123" s="8"/>
      <c r="G123" s="8"/>
      <c r="H123" s="8"/>
      <c r="I123" s="8"/>
      <c r="J123" s="8"/>
      <c r="K123" s="8"/>
      <c r="L123" s="8"/>
      <c r="M123" s="8"/>
      <c r="N123" s="8"/>
      <c r="O123" s="8"/>
      <c r="P123" s="8"/>
      <c r="Q123" s="8"/>
      <c r="R123" s="8"/>
      <c r="S123" s="8"/>
      <c r="T123" s="8"/>
      <c r="U123" s="8"/>
      <c r="V123" s="8"/>
      <c r="W123" s="49"/>
      <c r="X123" s="49"/>
      <c r="Y123" s="49"/>
      <c r="Z123" s="49"/>
    </row>
    <row r="124" spans="1:26" ht="14.25" x14ac:dyDescent="0.2">
      <c r="A124" s="8"/>
      <c r="B124" s="8"/>
      <c r="C124" s="8"/>
      <c r="D124" s="8"/>
      <c r="E124" s="8"/>
      <c r="F124" s="8"/>
      <c r="G124" s="8"/>
      <c r="H124" s="8"/>
      <c r="I124" s="8"/>
      <c r="J124" s="8"/>
      <c r="K124" s="8"/>
      <c r="L124" s="8"/>
      <c r="M124" s="8"/>
      <c r="N124" s="8"/>
      <c r="O124" s="8"/>
      <c r="P124" s="8"/>
      <c r="Q124" s="8"/>
      <c r="R124" s="8"/>
      <c r="S124" s="8"/>
      <c r="T124" s="8"/>
      <c r="U124" s="8"/>
      <c r="V124" s="8"/>
      <c r="W124" s="49"/>
      <c r="X124" s="49"/>
      <c r="Y124" s="49"/>
      <c r="Z124" s="49"/>
    </row>
    <row r="125" spans="1:26" ht="14.25" x14ac:dyDescent="0.2">
      <c r="A125" s="8"/>
      <c r="B125" s="8"/>
      <c r="C125" s="8"/>
      <c r="D125" s="8"/>
      <c r="E125" s="8"/>
      <c r="F125" s="8"/>
      <c r="G125" s="8"/>
      <c r="H125" s="8"/>
      <c r="I125" s="8"/>
      <c r="J125" s="8"/>
      <c r="K125" s="8"/>
      <c r="L125" s="8"/>
      <c r="M125" s="8"/>
      <c r="N125" s="8"/>
      <c r="O125" s="8"/>
      <c r="P125" s="8"/>
      <c r="Q125" s="8"/>
      <c r="R125" s="8"/>
      <c r="S125" s="8"/>
      <c r="T125" s="8"/>
      <c r="U125" s="8"/>
      <c r="V125" s="8"/>
      <c r="W125" s="49"/>
      <c r="X125" s="49"/>
      <c r="Y125" s="49"/>
      <c r="Z125" s="49"/>
    </row>
    <row r="126" spans="1:26" ht="14.25" x14ac:dyDescent="0.2">
      <c r="A126" s="8"/>
      <c r="B126" s="8"/>
      <c r="C126" s="8"/>
      <c r="D126" s="8"/>
      <c r="E126" s="8"/>
      <c r="F126" s="8"/>
      <c r="G126" s="8"/>
      <c r="H126" s="8"/>
      <c r="I126" s="8"/>
      <c r="J126" s="8"/>
      <c r="K126" s="8"/>
      <c r="L126" s="8"/>
      <c r="M126" s="8"/>
      <c r="N126" s="8"/>
      <c r="O126" s="8"/>
      <c r="P126" s="8"/>
      <c r="Q126" s="8"/>
      <c r="R126" s="8"/>
      <c r="S126" s="8"/>
      <c r="T126" s="8"/>
      <c r="U126" s="8"/>
      <c r="V126" s="8"/>
      <c r="W126" s="49"/>
      <c r="X126" s="49"/>
      <c r="Y126" s="49"/>
      <c r="Z126" s="49"/>
    </row>
    <row r="127" spans="1:26" ht="14.25" x14ac:dyDescent="0.2">
      <c r="A127" s="8"/>
      <c r="B127" s="8"/>
      <c r="C127" s="8"/>
      <c r="D127" s="8"/>
      <c r="E127" s="8"/>
      <c r="F127" s="8"/>
      <c r="G127" s="8"/>
      <c r="H127" s="8"/>
      <c r="I127" s="8"/>
      <c r="J127" s="8"/>
      <c r="K127" s="8"/>
      <c r="L127" s="8"/>
      <c r="M127" s="8"/>
      <c r="N127" s="8"/>
      <c r="O127" s="8"/>
      <c r="P127" s="8"/>
      <c r="Q127" s="8"/>
      <c r="R127" s="8"/>
      <c r="S127" s="8"/>
      <c r="T127" s="8"/>
      <c r="U127" s="8"/>
      <c r="V127" s="8"/>
      <c r="W127" s="49"/>
      <c r="X127" s="49"/>
      <c r="Y127" s="49"/>
      <c r="Z127" s="49"/>
    </row>
    <row r="128" spans="1:26" ht="14.25" x14ac:dyDescent="0.2">
      <c r="A128" s="8"/>
      <c r="B128" s="8"/>
      <c r="C128" s="8"/>
      <c r="D128" s="8"/>
      <c r="E128" s="8"/>
      <c r="F128" s="8"/>
      <c r="G128" s="8"/>
      <c r="H128" s="8"/>
      <c r="I128" s="8"/>
      <c r="J128" s="8"/>
      <c r="K128" s="8"/>
      <c r="L128" s="8"/>
      <c r="M128" s="8"/>
      <c r="N128" s="8"/>
      <c r="O128" s="8"/>
      <c r="P128" s="8"/>
      <c r="Q128" s="8"/>
      <c r="R128" s="8"/>
      <c r="S128" s="8"/>
      <c r="T128" s="8"/>
      <c r="U128" s="8"/>
      <c r="V128" s="8"/>
      <c r="W128" s="49"/>
      <c r="X128" s="49"/>
      <c r="Y128" s="49"/>
      <c r="Z128" s="49"/>
    </row>
    <row r="129" spans="1:26" ht="14.25" x14ac:dyDescent="0.2">
      <c r="A129" s="8"/>
      <c r="B129" s="8"/>
      <c r="C129" s="8"/>
      <c r="D129" s="8"/>
      <c r="E129" s="8"/>
      <c r="F129" s="8"/>
      <c r="G129" s="8"/>
      <c r="H129" s="8"/>
      <c r="I129" s="8"/>
      <c r="J129" s="8"/>
      <c r="K129" s="8"/>
      <c r="L129" s="8"/>
      <c r="M129" s="8"/>
      <c r="N129" s="8"/>
      <c r="O129" s="8"/>
      <c r="P129" s="8"/>
      <c r="Q129" s="8"/>
      <c r="R129" s="8"/>
      <c r="S129" s="8"/>
      <c r="T129" s="8"/>
      <c r="U129" s="8"/>
      <c r="V129" s="8"/>
      <c r="W129" s="49"/>
      <c r="X129" s="49"/>
      <c r="Y129" s="49"/>
      <c r="Z129" s="49"/>
    </row>
    <row r="130" spans="1:26" ht="14.25" x14ac:dyDescent="0.2">
      <c r="A130" s="8"/>
      <c r="B130" s="8"/>
      <c r="C130" s="8"/>
      <c r="D130" s="8"/>
      <c r="E130" s="8"/>
      <c r="F130" s="8"/>
      <c r="G130" s="8"/>
      <c r="H130" s="8"/>
      <c r="I130" s="8"/>
      <c r="J130" s="8"/>
      <c r="K130" s="8"/>
      <c r="L130" s="8"/>
      <c r="M130" s="8"/>
      <c r="N130" s="8"/>
      <c r="O130" s="8"/>
      <c r="P130" s="8"/>
      <c r="Q130" s="8"/>
      <c r="R130" s="8"/>
      <c r="S130" s="8"/>
      <c r="T130" s="8"/>
      <c r="U130" s="8"/>
      <c r="V130" s="8"/>
      <c r="W130" s="49"/>
      <c r="X130" s="49"/>
      <c r="Y130" s="49"/>
      <c r="Z130" s="49"/>
    </row>
    <row r="131" spans="1:26" ht="14.25" x14ac:dyDescent="0.2">
      <c r="A131" s="8"/>
      <c r="B131" s="8"/>
      <c r="C131" s="8"/>
      <c r="D131" s="8"/>
      <c r="E131" s="8"/>
      <c r="F131" s="8"/>
      <c r="G131" s="8"/>
      <c r="H131" s="8"/>
      <c r="I131" s="8"/>
      <c r="J131" s="8"/>
      <c r="K131" s="8"/>
      <c r="L131" s="8"/>
      <c r="M131" s="8"/>
      <c r="N131" s="8"/>
      <c r="O131" s="8"/>
      <c r="P131" s="8"/>
      <c r="Q131" s="8"/>
      <c r="R131" s="8"/>
      <c r="S131" s="8"/>
      <c r="T131" s="8"/>
      <c r="U131" s="8"/>
      <c r="V131" s="8"/>
      <c r="W131" s="49"/>
      <c r="X131" s="49"/>
      <c r="Y131" s="49"/>
      <c r="Z131" s="49"/>
    </row>
    <row r="132" spans="1:26" ht="14.25" x14ac:dyDescent="0.2">
      <c r="A132" s="8"/>
      <c r="B132" s="8"/>
      <c r="C132" s="8"/>
      <c r="D132" s="8"/>
      <c r="E132" s="8"/>
      <c r="F132" s="8"/>
      <c r="G132" s="8"/>
      <c r="H132" s="8"/>
      <c r="I132" s="8"/>
      <c r="J132" s="8"/>
      <c r="K132" s="8"/>
      <c r="L132" s="8"/>
      <c r="M132" s="8"/>
      <c r="N132" s="8"/>
      <c r="O132" s="8"/>
      <c r="P132" s="8"/>
      <c r="Q132" s="8"/>
      <c r="R132" s="8"/>
      <c r="S132" s="8"/>
      <c r="T132" s="8"/>
      <c r="U132" s="8"/>
      <c r="V132" s="8"/>
      <c r="W132" s="49"/>
      <c r="X132" s="49"/>
      <c r="Y132" s="49"/>
      <c r="Z132" s="49"/>
    </row>
    <row r="133" spans="1:26" ht="14.25" x14ac:dyDescent="0.2">
      <c r="A133" s="8"/>
      <c r="B133" s="8"/>
      <c r="C133" s="8"/>
      <c r="D133" s="8"/>
      <c r="E133" s="8"/>
      <c r="F133" s="8"/>
      <c r="G133" s="8"/>
      <c r="H133" s="8"/>
      <c r="I133" s="8"/>
      <c r="J133" s="8"/>
      <c r="K133" s="8"/>
      <c r="L133" s="8"/>
      <c r="M133" s="8"/>
      <c r="N133" s="8"/>
      <c r="O133" s="8"/>
      <c r="P133" s="8"/>
      <c r="Q133" s="8"/>
      <c r="R133" s="8"/>
      <c r="S133" s="8"/>
      <c r="T133" s="8"/>
      <c r="U133" s="8"/>
      <c r="V133" s="8"/>
      <c r="W133" s="49"/>
      <c r="X133" s="49"/>
      <c r="Y133" s="49"/>
      <c r="Z133" s="49"/>
    </row>
    <row r="134" spans="1:26" ht="14.25" x14ac:dyDescent="0.2">
      <c r="A134" s="8"/>
      <c r="B134" s="8"/>
      <c r="C134" s="8"/>
      <c r="D134" s="8"/>
      <c r="E134" s="8"/>
      <c r="F134" s="8"/>
      <c r="G134" s="8"/>
      <c r="H134" s="8"/>
      <c r="I134" s="8"/>
      <c r="J134" s="8"/>
      <c r="K134" s="8"/>
      <c r="L134" s="8"/>
      <c r="M134" s="8"/>
      <c r="N134" s="8"/>
      <c r="O134" s="8"/>
      <c r="P134" s="8"/>
      <c r="Q134" s="8"/>
      <c r="R134" s="8"/>
      <c r="S134" s="8"/>
      <c r="T134" s="8"/>
      <c r="U134" s="8"/>
      <c r="V134" s="8"/>
      <c r="W134" s="49"/>
      <c r="X134" s="49"/>
      <c r="Y134" s="49"/>
      <c r="Z134" s="49"/>
    </row>
    <row r="135" spans="1:26" ht="14.25" x14ac:dyDescent="0.2">
      <c r="A135" s="8"/>
      <c r="B135" s="8"/>
      <c r="C135" s="8"/>
      <c r="D135" s="8"/>
      <c r="E135" s="8"/>
      <c r="F135" s="8"/>
      <c r="G135" s="8"/>
      <c r="H135" s="8"/>
      <c r="I135" s="8"/>
      <c r="J135" s="8"/>
      <c r="K135" s="8"/>
      <c r="L135" s="8"/>
      <c r="M135" s="8"/>
      <c r="N135" s="8"/>
      <c r="O135" s="8"/>
      <c r="P135" s="8"/>
      <c r="Q135" s="8"/>
      <c r="R135" s="8"/>
      <c r="S135" s="8"/>
      <c r="T135" s="8"/>
      <c r="U135" s="8"/>
      <c r="V135" s="8"/>
      <c r="W135" s="49"/>
      <c r="X135" s="49"/>
      <c r="Y135" s="49"/>
      <c r="Z135" s="49"/>
    </row>
    <row r="136" spans="1:26" ht="14.25" x14ac:dyDescent="0.2">
      <c r="A136" s="8"/>
      <c r="B136" s="8"/>
      <c r="C136" s="8"/>
      <c r="D136" s="8"/>
      <c r="E136" s="8"/>
      <c r="F136" s="8"/>
      <c r="G136" s="8"/>
      <c r="H136" s="8"/>
      <c r="I136" s="8"/>
      <c r="J136" s="8"/>
      <c r="K136" s="8"/>
      <c r="L136" s="8"/>
      <c r="M136" s="8"/>
      <c r="N136" s="8"/>
      <c r="O136" s="8"/>
      <c r="P136" s="8"/>
      <c r="Q136" s="8"/>
      <c r="R136" s="8"/>
      <c r="S136" s="8"/>
      <c r="T136" s="8"/>
      <c r="U136" s="8"/>
      <c r="V136" s="8"/>
      <c r="W136" s="49"/>
      <c r="X136" s="49"/>
      <c r="Y136" s="49"/>
      <c r="Z136" s="49"/>
    </row>
    <row r="137" spans="1:26" ht="14.25" x14ac:dyDescent="0.2">
      <c r="A137" s="8"/>
      <c r="B137" s="8"/>
      <c r="C137" s="8"/>
      <c r="D137" s="8"/>
      <c r="E137" s="8"/>
      <c r="F137" s="8"/>
      <c r="G137" s="8"/>
      <c r="H137" s="8"/>
      <c r="I137" s="8"/>
      <c r="J137" s="8"/>
      <c r="K137" s="8"/>
      <c r="L137" s="8"/>
      <c r="M137" s="8"/>
      <c r="N137" s="8"/>
      <c r="O137" s="8"/>
      <c r="P137" s="8"/>
      <c r="Q137" s="8"/>
      <c r="R137" s="8"/>
      <c r="S137" s="8"/>
      <c r="T137" s="8"/>
      <c r="U137" s="8"/>
      <c r="V137" s="8"/>
      <c r="W137" s="49"/>
      <c r="X137" s="49"/>
      <c r="Y137" s="49"/>
      <c r="Z137" s="49"/>
    </row>
    <row r="138" spans="1:26" ht="14.25" x14ac:dyDescent="0.2">
      <c r="A138" s="8"/>
      <c r="B138" s="8"/>
      <c r="C138" s="8"/>
      <c r="D138" s="8"/>
      <c r="E138" s="8"/>
      <c r="F138" s="8"/>
      <c r="G138" s="8"/>
      <c r="H138" s="8"/>
      <c r="I138" s="8"/>
      <c r="J138" s="8"/>
      <c r="K138" s="8"/>
      <c r="L138" s="8"/>
      <c r="M138" s="8"/>
      <c r="N138" s="8"/>
      <c r="O138" s="8"/>
      <c r="P138" s="8"/>
      <c r="Q138" s="8"/>
      <c r="R138" s="8"/>
      <c r="S138" s="8"/>
      <c r="T138" s="8"/>
      <c r="U138" s="8"/>
      <c r="V138" s="8"/>
      <c r="W138" s="49"/>
      <c r="X138" s="49"/>
      <c r="Y138" s="49"/>
      <c r="Z138" s="49"/>
    </row>
    <row r="139" spans="1:26" ht="14.25" x14ac:dyDescent="0.2">
      <c r="A139" s="8"/>
      <c r="B139" s="8"/>
      <c r="C139" s="8"/>
      <c r="D139" s="8"/>
      <c r="E139" s="8"/>
      <c r="F139" s="8"/>
      <c r="G139" s="8"/>
      <c r="H139" s="8"/>
      <c r="I139" s="8"/>
      <c r="J139" s="8"/>
      <c r="K139" s="8"/>
      <c r="L139" s="8"/>
      <c r="M139" s="8"/>
      <c r="N139" s="8"/>
      <c r="O139" s="8"/>
      <c r="P139" s="8"/>
      <c r="Q139" s="8"/>
      <c r="R139" s="8"/>
      <c r="S139" s="8"/>
      <c r="T139" s="8"/>
      <c r="U139" s="8"/>
      <c r="V139" s="8"/>
      <c r="W139" s="49"/>
      <c r="X139" s="49"/>
      <c r="Y139" s="49"/>
      <c r="Z139" s="49"/>
    </row>
    <row r="140" spans="1:26" ht="14.25" x14ac:dyDescent="0.2">
      <c r="A140" s="8"/>
      <c r="B140" s="8"/>
      <c r="C140" s="8"/>
      <c r="D140" s="8"/>
      <c r="E140" s="8"/>
      <c r="F140" s="8"/>
      <c r="G140" s="8"/>
      <c r="H140" s="8"/>
      <c r="I140" s="8"/>
      <c r="J140" s="8"/>
      <c r="K140" s="8"/>
      <c r="L140" s="8"/>
      <c r="M140" s="8"/>
      <c r="N140" s="8"/>
      <c r="O140" s="8"/>
      <c r="P140" s="8"/>
      <c r="Q140" s="8"/>
      <c r="R140" s="8"/>
      <c r="S140" s="8"/>
      <c r="T140" s="8"/>
      <c r="U140" s="8"/>
      <c r="V140" s="8"/>
      <c r="W140" s="49"/>
      <c r="X140" s="49"/>
      <c r="Y140" s="49"/>
      <c r="Z140" s="49"/>
    </row>
    <row r="141" spans="1:26" ht="14.25" x14ac:dyDescent="0.2">
      <c r="A141" s="8"/>
      <c r="B141" s="8"/>
      <c r="C141" s="8"/>
      <c r="D141" s="8"/>
      <c r="E141" s="8"/>
      <c r="F141" s="8"/>
      <c r="G141" s="8"/>
      <c r="H141" s="8"/>
      <c r="I141" s="8"/>
      <c r="J141" s="8"/>
      <c r="K141" s="8"/>
      <c r="L141" s="8"/>
      <c r="M141" s="8"/>
      <c r="N141" s="8"/>
      <c r="O141" s="8"/>
      <c r="P141" s="8"/>
      <c r="Q141" s="8"/>
      <c r="R141" s="8"/>
      <c r="S141" s="8"/>
      <c r="T141" s="8"/>
      <c r="U141" s="8"/>
      <c r="V141" s="8"/>
      <c r="W141" s="49"/>
      <c r="X141" s="49"/>
      <c r="Y141" s="49"/>
      <c r="Z141" s="49"/>
    </row>
    <row r="142" spans="1:26" ht="14.25" x14ac:dyDescent="0.2">
      <c r="A142" s="8"/>
      <c r="B142" s="8"/>
      <c r="C142" s="8"/>
      <c r="D142" s="8"/>
      <c r="E142" s="8"/>
      <c r="F142" s="8"/>
      <c r="G142" s="8"/>
      <c r="H142" s="8"/>
      <c r="I142" s="8"/>
      <c r="J142" s="8"/>
      <c r="K142" s="8"/>
      <c r="L142" s="8"/>
      <c r="M142" s="8"/>
      <c r="N142" s="8"/>
      <c r="O142" s="8"/>
      <c r="P142" s="8"/>
      <c r="Q142" s="8"/>
      <c r="R142" s="8"/>
      <c r="S142" s="8"/>
      <c r="T142" s="8"/>
      <c r="U142" s="8"/>
      <c r="V142" s="8"/>
      <c r="W142" s="49"/>
      <c r="X142" s="49"/>
      <c r="Y142" s="49"/>
      <c r="Z142" s="49"/>
    </row>
    <row r="143" spans="1:26" ht="14.25" x14ac:dyDescent="0.2">
      <c r="A143" s="8"/>
      <c r="B143" s="8"/>
      <c r="C143" s="8"/>
      <c r="D143" s="8"/>
      <c r="E143" s="8"/>
      <c r="F143" s="8"/>
      <c r="G143" s="8"/>
      <c r="H143" s="8"/>
      <c r="I143" s="8"/>
      <c r="J143" s="8"/>
      <c r="K143" s="8"/>
      <c r="L143" s="8"/>
      <c r="M143" s="8"/>
      <c r="N143" s="8"/>
      <c r="O143" s="8"/>
      <c r="P143" s="8"/>
      <c r="Q143" s="8"/>
      <c r="R143" s="8"/>
      <c r="S143" s="8"/>
      <c r="T143" s="8"/>
      <c r="U143" s="8"/>
      <c r="V143" s="8"/>
      <c r="W143" s="49"/>
      <c r="X143" s="49"/>
      <c r="Y143" s="49"/>
      <c r="Z143" s="49"/>
    </row>
    <row r="144" spans="1:26" ht="14.25" x14ac:dyDescent="0.2">
      <c r="A144" s="8"/>
      <c r="B144" s="8"/>
      <c r="C144" s="8"/>
      <c r="D144" s="8"/>
      <c r="E144" s="8"/>
      <c r="F144" s="8"/>
      <c r="G144" s="8"/>
      <c r="H144" s="8"/>
      <c r="I144" s="8"/>
      <c r="J144" s="8"/>
      <c r="K144" s="8"/>
      <c r="L144" s="8"/>
      <c r="M144" s="8"/>
      <c r="N144" s="8"/>
      <c r="O144" s="8"/>
      <c r="P144" s="8"/>
      <c r="Q144" s="8"/>
      <c r="R144" s="8"/>
      <c r="S144" s="8"/>
      <c r="T144" s="8"/>
      <c r="U144" s="8"/>
      <c r="V144" s="8"/>
      <c r="W144" s="49"/>
      <c r="X144" s="49"/>
      <c r="Y144" s="49"/>
      <c r="Z144" s="49"/>
    </row>
    <row r="145" spans="1:26" ht="14.25" x14ac:dyDescent="0.2">
      <c r="A145" s="8"/>
      <c r="B145" s="8"/>
      <c r="C145" s="8"/>
      <c r="D145" s="8"/>
      <c r="E145" s="8"/>
      <c r="F145" s="8"/>
      <c r="G145" s="8"/>
      <c r="H145" s="8"/>
      <c r="I145" s="8"/>
      <c r="J145" s="8"/>
      <c r="K145" s="8"/>
      <c r="L145" s="8"/>
      <c r="M145" s="8"/>
      <c r="N145" s="8"/>
      <c r="O145" s="8"/>
      <c r="P145" s="8"/>
      <c r="Q145" s="8"/>
      <c r="R145" s="8"/>
      <c r="S145" s="8"/>
      <c r="T145" s="8"/>
      <c r="U145" s="8"/>
      <c r="V145" s="8"/>
      <c r="W145" s="49"/>
      <c r="X145" s="49"/>
      <c r="Y145" s="49"/>
      <c r="Z145" s="49"/>
    </row>
    <row r="146" spans="1:26" ht="14.25" x14ac:dyDescent="0.2">
      <c r="A146" s="8"/>
      <c r="B146" s="8"/>
      <c r="C146" s="8"/>
      <c r="D146" s="8"/>
      <c r="E146" s="8"/>
      <c r="F146" s="8"/>
      <c r="G146" s="8"/>
      <c r="H146" s="8"/>
      <c r="I146" s="8"/>
      <c r="J146" s="8"/>
      <c r="K146" s="8"/>
      <c r="L146" s="8"/>
      <c r="M146" s="8"/>
      <c r="N146" s="8"/>
      <c r="O146" s="8"/>
      <c r="P146" s="8"/>
      <c r="Q146" s="8"/>
      <c r="R146" s="8"/>
      <c r="S146" s="8"/>
      <c r="T146" s="8"/>
      <c r="U146" s="8"/>
      <c r="V146" s="8"/>
      <c r="W146" s="49"/>
      <c r="X146" s="49"/>
      <c r="Y146" s="49"/>
      <c r="Z146" s="49"/>
    </row>
    <row r="147" spans="1:26" ht="14.25" x14ac:dyDescent="0.2">
      <c r="A147" s="8"/>
      <c r="B147" s="8"/>
      <c r="C147" s="8"/>
      <c r="D147" s="8"/>
      <c r="E147" s="8"/>
      <c r="F147" s="8"/>
      <c r="G147" s="8"/>
      <c r="H147" s="8"/>
      <c r="I147" s="8"/>
      <c r="J147" s="8"/>
      <c r="K147" s="8"/>
      <c r="L147" s="8"/>
      <c r="M147" s="8"/>
      <c r="N147" s="8"/>
      <c r="O147" s="8"/>
      <c r="P147" s="8"/>
      <c r="Q147" s="8"/>
      <c r="R147" s="8"/>
      <c r="S147" s="8"/>
      <c r="T147" s="8"/>
      <c r="U147" s="8"/>
      <c r="V147" s="8"/>
      <c r="W147" s="49"/>
      <c r="X147" s="49"/>
      <c r="Y147" s="49"/>
      <c r="Z147" s="49"/>
    </row>
    <row r="148" spans="1:26" ht="14.25" x14ac:dyDescent="0.2">
      <c r="A148" s="8"/>
      <c r="B148" s="8"/>
      <c r="C148" s="8"/>
      <c r="D148" s="8"/>
      <c r="E148" s="8"/>
      <c r="F148" s="8"/>
      <c r="G148" s="8"/>
      <c r="H148" s="8"/>
      <c r="I148" s="8"/>
      <c r="J148" s="8"/>
      <c r="K148" s="8"/>
      <c r="L148" s="8"/>
      <c r="M148" s="8"/>
      <c r="N148" s="8"/>
      <c r="O148" s="8"/>
      <c r="P148" s="8"/>
      <c r="Q148" s="8"/>
      <c r="R148" s="8"/>
      <c r="S148" s="8"/>
      <c r="T148" s="8"/>
      <c r="U148" s="8"/>
      <c r="V148" s="8"/>
      <c r="W148" s="49"/>
      <c r="X148" s="49"/>
      <c r="Y148" s="49"/>
      <c r="Z148" s="49"/>
    </row>
    <row r="149" spans="1:26" ht="14.25" x14ac:dyDescent="0.2">
      <c r="A149" s="8"/>
      <c r="B149" s="8"/>
      <c r="C149" s="8"/>
      <c r="D149" s="8"/>
      <c r="E149" s="8"/>
      <c r="F149" s="8"/>
      <c r="G149" s="8"/>
      <c r="H149" s="8"/>
      <c r="I149" s="8"/>
      <c r="J149" s="8"/>
      <c r="K149" s="8"/>
      <c r="L149" s="8"/>
      <c r="M149" s="8"/>
      <c r="N149" s="8"/>
      <c r="O149" s="8"/>
      <c r="P149" s="8"/>
      <c r="Q149" s="8"/>
      <c r="R149" s="8"/>
      <c r="S149" s="8"/>
      <c r="T149" s="8"/>
      <c r="U149" s="8"/>
      <c r="V149" s="8"/>
      <c r="W149" s="49"/>
      <c r="X149" s="49"/>
      <c r="Y149" s="49"/>
      <c r="Z149" s="49"/>
    </row>
    <row r="150" spans="1:26" ht="14.25" x14ac:dyDescent="0.2">
      <c r="A150" s="8"/>
      <c r="B150" s="8"/>
      <c r="C150" s="8"/>
      <c r="D150" s="8"/>
      <c r="E150" s="8"/>
      <c r="F150" s="8"/>
      <c r="G150" s="8"/>
      <c r="H150" s="8"/>
      <c r="I150" s="8"/>
      <c r="J150" s="8"/>
      <c r="K150" s="8"/>
      <c r="L150" s="8"/>
      <c r="M150" s="8"/>
      <c r="N150" s="8"/>
      <c r="O150" s="8"/>
      <c r="P150" s="8"/>
      <c r="Q150" s="8"/>
      <c r="R150" s="8"/>
      <c r="S150" s="8"/>
      <c r="T150" s="8"/>
      <c r="U150" s="8"/>
      <c r="V150" s="8"/>
      <c r="W150" s="49"/>
      <c r="X150" s="49"/>
      <c r="Y150" s="49"/>
      <c r="Z150" s="49"/>
    </row>
    <row r="151" spans="1:26" ht="14.25" x14ac:dyDescent="0.2">
      <c r="A151" s="8"/>
      <c r="B151" s="8"/>
      <c r="C151" s="8"/>
      <c r="D151" s="8"/>
      <c r="E151" s="8"/>
      <c r="F151" s="8"/>
      <c r="G151" s="8"/>
      <c r="H151" s="8"/>
      <c r="I151" s="8"/>
      <c r="J151" s="8"/>
      <c r="K151" s="8"/>
      <c r="L151" s="8"/>
      <c r="M151" s="8"/>
      <c r="N151" s="8"/>
      <c r="O151" s="8"/>
      <c r="P151" s="8"/>
      <c r="Q151" s="8"/>
      <c r="R151" s="8"/>
      <c r="S151" s="8"/>
      <c r="T151" s="8"/>
      <c r="U151" s="8"/>
      <c r="V151" s="8"/>
      <c r="W151" s="49"/>
      <c r="X151" s="49"/>
      <c r="Y151" s="49"/>
      <c r="Z151" s="49"/>
    </row>
    <row r="152" spans="1:26" ht="14.25" x14ac:dyDescent="0.2">
      <c r="A152" s="8"/>
      <c r="B152" s="8"/>
      <c r="C152" s="8"/>
      <c r="D152" s="8"/>
      <c r="E152" s="8"/>
      <c r="F152" s="8"/>
      <c r="G152" s="8"/>
      <c r="H152" s="8"/>
      <c r="I152" s="8"/>
      <c r="J152" s="8"/>
      <c r="K152" s="8"/>
      <c r="L152" s="8"/>
      <c r="M152" s="8"/>
      <c r="N152" s="8"/>
      <c r="O152" s="8"/>
      <c r="P152" s="8"/>
      <c r="Q152" s="8"/>
      <c r="R152" s="8"/>
      <c r="S152" s="8"/>
      <c r="T152" s="8"/>
      <c r="U152" s="8"/>
      <c r="V152" s="8"/>
      <c r="W152" s="49"/>
      <c r="X152" s="49"/>
      <c r="Y152" s="49"/>
      <c r="Z152" s="49"/>
    </row>
    <row r="153" spans="1:26" ht="14.25" x14ac:dyDescent="0.2">
      <c r="A153" s="8"/>
      <c r="B153" s="8"/>
      <c r="C153" s="8"/>
      <c r="D153" s="8"/>
      <c r="E153" s="8"/>
      <c r="F153" s="8"/>
      <c r="G153" s="8"/>
      <c r="H153" s="8"/>
      <c r="I153" s="8"/>
      <c r="J153" s="8"/>
      <c r="K153" s="8"/>
      <c r="L153" s="8"/>
      <c r="M153" s="8"/>
      <c r="N153" s="8"/>
      <c r="O153" s="8"/>
      <c r="P153" s="8"/>
      <c r="Q153" s="8"/>
      <c r="R153" s="8"/>
      <c r="S153" s="8"/>
      <c r="T153" s="8"/>
      <c r="U153" s="8"/>
      <c r="V153" s="8"/>
      <c r="W153" s="49"/>
      <c r="X153" s="49"/>
      <c r="Y153" s="49"/>
      <c r="Z153" s="49"/>
    </row>
    <row r="154" spans="1:26" ht="14.25" x14ac:dyDescent="0.2">
      <c r="A154" s="8"/>
      <c r="B154" s="8"/>
      <c r="C154" s="8"/>
      <c r="D154" s="8"/>
      <c r="E154" s="8"/>
      <c r="F154" s="8"/>
      <c r="G154" s="8"/>
      <c r="H154" s="8"/>
      <c r="I154" s="8"/>
      <c r="J154" s="8"/>
      <c r="K154" s="8"/>
      <c r="L154" s="8"/>
      <c r="M154" s="8"/>
      <c r="N154" s="8"/>
      <c r="O154" s="8"/>
      <c r="P154" s="8"/>
      <c r="Q154" s="8"/>
      <c r="R154" s="8"/>
      <c r="S154" s="8"/>
      <c r="T154" s="8"/>
      <c r="U154" s="8"/>
      <c r="V154" s="8"/>
      <c r="W154" s="49"/>
      <c r="X154" s="49"/>
      <c r="Y154" s="49"/>
      <c r="Z154" s="49"/>
    </row>
    <row r="155" spans="1:26" ht="14.25" x14ac:dyDescent="0.2">
      <c r="A155" s="8"/>
      <c r="B155" s="8"/>
      <c r="C155" s="8"/>
      <c r="D155" s="8"/>
      <c r="E155" s="8"/>
      <c r="F155" s="8"/>
      <c r="G155" s="8"/>
      <c r="H155" s="8"/>
      <c r="I155" s="8"/>
      <c r="J155" s="8"/>
      <c r="K155" s="8"/>
      <c r="L155" s="8"/>
      <c r="M155" s="8"/>
      <c r="N155" s="8"/>
      <c r="O155" s="8"/>
      <c r="P155" s="8"/>
      <c r="Q155" s="8"/>
      <c r="R155" s="8"/>
      <c r="S155" s="8"/>
      <c r="T155" s="8"/>
      <c r="U155" s="8"/>
      <c r="V155" s="8"/>
      <c r="W155" s="49"/>
      <c r="X155" s="49"/>
      <c r="Y155" s="49"/>
      <c r="Z155" s="49"/>
    </row>
    <row r="156" spans="1:26" ht="14.25" x14ac:dyDescent="0.2">
      <c r="A156" s="8"/>
      <c r="B156" s="8"/>
      <c r="C156" s="8"/>
      <c r="D156" s="8"/>
      <c r="E156" s="8"/>
      <c r="F156" s="8"/>
      <c r="G156" s="8"/>
      <c r="H156" s="8"/>
      <c r="I156" s="8"/>
      <c r="J156" s="8"/>
      <c r="K156" s="8"/>
      <c r="L156" s="8"/>
      <c r="M156" s="8"/>
      <c r="N156" s="8"/>
      <c r="O156" s="8"/>
      <c r="P156" s="8"/>
      <c r="Q156" s="8"/>
      <c r="R156" s="8"/>
      <c r="S156" s="8"/>
      <c r="T156" s="8"/>
      <c r="U156" s="8"/>
      <c r="V156" s="8"/>
      <c r="W156" s="49"/>
      <c r="X156" s="49"/>
      <c r="Y156" s="49"/>
      <c r="Z156" s="49"/>
    </row>
    <row r="157" spans="1:26" ht="14.25" x14ac:dyDescent="0.2">
      <c r="A157" s="8"/>
      <c r="B157" s="8"/>
      <c r="C157" s="8"/>
      <c r="D157" s="8"/>
      <c r="E157" s="8"/>
      <c r="F157" s="8"/>
      <c r="G157" s="8"/>
      <c r="H157" s="8"/>
      <c r="I157" s="8"/>
      <c r="J157" s="8"/>
      <c r="K157" s="8"/>
      <c r="L157" s="8"/>
      <c r="M157" s="8"/>
      <c r="N157" s="8"/>
      <c r="O157" s="8"/>
      <c r="P157" s="8"/>
      <c r="Q157" s="8"/>
      <c r="R157" s="8"/>
      <c r="S157" s="8"/>
      <c r="T157" s="8"/>
      <c r="U157" s="8"/>
      <c r="V157" s="8"/>
      <c r="W157" s="49"/>
      <c r="X157" s="49"/>
      <c r="Y157" s="49"/>
      <c r="Z157" s="49"/>
    </row>
    <row r="158" spans="1:26" ht="14.25" x14ac:dyDescent="0.2">
      <c r="A158" s="8"/>
      <c r="B158" s="8"/>
      <c r="C158" s="8"/>
      <c r="D158" s="8"/>
      <c r="E158" s="8"/>
      <c r="F158" s="8"/>
      <c r="G158" s="8"/>
      <c r="H158" s="8"/>
      <c r="I158" s="8"/>
      <c r="J158" s="8"/>
      <c r="K158" s="8"/>
      <c r="L158" s="8"/>
      <c r="M158" s="8"/>
      <c r="N158" s="8"/>
      <c r="O158" s="8"/>
      <c r="P158" s="8"/>
      <c r="Q158" s="8"/>
      <c r="R158" s="8"/>
      <c r="S158" s="8"/>
      <c r="T158" s="8"/>
      <c r="U158" s="8"/>
      <c r="V158" s="8"/>
      <c r="W158" s="49"/>
      <c r="X158" s="49"/>
      <c r="Y158" s="49"/>
      <c r="Z158" s="49"/>
    </row>
    <row r="159" spans="1:26" ht="14.25" x14ac:dyDescent="0.2">
      <c r="A159" s="8"/>
      <c r="B159" s="8"/>
      <c r="C159" s="8"/>
      <c r="D159" s="8"/>
      <c r="E159" s="8"/>
      <c r="F159" s="8"/>
      <c r="G159" s="8"/>
      <c r="H159" s="8"/>
      <c r="I159" s="8"/>
      <c r="J159" s="8"/>
      <c r="K159" s="8"/>
      <c r="L159" s="8"/>
      <c r="M159" s="8"/>
      <c r="N159" s="8"/>
      <c r="O159" s="8"/>
      <c r="P159" s="8"/>
      <c r="Q159" s="8"/>
      <c r="R159" s="8"/>
      <c r="S159" s="8"/>
      <c r="T159" s="8"/>
      <c r="U159" s="8"/>
      <c r="V159" s="8"/>
      <c r="W159" s="49"/>
      <c r="X159" s="49"/>
      <c r="Y159" s="49"/>
      <c r="Z159" s="49"/>
    </row>
    <row r="160" spans="1:26" ht="14.25" x14ac:dyDescent="0.2">
      <c r="A160" s="8"/>
      <c r="B160" s="8"/>
      <c r="C160" s="8"/>
      <c r="D160" s="8"/>
      <c r="E160" s="8"/>
      <c r="F160" s="8"/>
      <c r="G160" s="8"/>
      <c r="H160" s="8"/>
      <c r="I160" s="8"/>
      <c r="J160" s="8"/>
      <c r="K160" s="8"/>
      <c r="L160" s="8"/>
      <c r="M160" s="8"/>
      <c r="N160" s="8"/>
      <c r="O160" s="8"/>
      <c r="P160" s="8"/>
      <c r="Q160" s="8"/>
      <c r="R160" s="8"/>
      <c r="S160" s="8"/>
      <c r="T160" s="8"/>
      <c r="U160" s="8"/>
      <c r="V160" s="8"/>
      <c r="W160" s="49"/>
      <c r="X160" s="49"/>
      <c r="Y160" s="49"/>
      <c r="Z160" s="49"/>
    </row>
    <row r="161" spans="1:26" ht="14.25" x14ac:dyDescent="0.2">
      <c r="A161" s="8"/>
      <c r="B161" s="8"/>
      <c r="C161" s="8"/>
      <c r="D161" s="8"/>
      <c r="E161" s="8"/>
      <c r="F161" s="8"/>
      <c r="G161" s="8"/>
      <c r="H161" s="8"/>
      <c r="I161" s="8"/>
      <c r="J161" s="8"/>
      <c r="K161" s="8"/>
      <c r="L161" s="8"/>
      <c r="M161" s="8"/>
      <c r="N161" s="8"/>
      <c r="O161" s="8"/>
      <c r="P161" s="8"/>
      <c r="Q161" s="8"/>
      <c r="R161" s="8"/>
      <c r="S161" s="8"/>
      <c r="T161" s="8"/>
      <c r="U161" s="8"/>
      <c r="V161" s="8"/>
      <c r="W161" s="49"/>
      <c r="X161" s="49"/>
      <c r="Y161" s="49"/>
      <c r="Z161" s="49"/>
    </row>
    <row r="162" spans="1:26" ht="14.25" x14ac:dyDescent="0.2">
      <c r="A162" s="8"/>
      <c r="B162" s="8"/>
      <c r="C162" s="8"/>
      <c r="D162" s="8"/>
      <c r="E162" s="8"/>
      <c r="F162" s="8"/>
      <c r="G162" s="8"/>
      <c r="H162" s="8"/>
      <c r="I162" s="8"/>
      <c r="J162" s="8"/>
      <c r="K162" s="8"/>
      <c r="L162" s="8"/>
      <c r="M162" s="8"/>
      <c r="N162" s="8"/>
      <c r="O162" s="8"/>
      <c r="P162" s="8"/>
      <c r="Q162" s="8"/>
      <c r="R162" s="8"/>
      <c r="S162" s="8"/>
      <c r="T162" s="8"/>
      <c r="U162" s="8"/>
      <c r="V162" s="8"/>
      <c r="W162" s="49"/>
      <c r="X162" s="49"/>
      <c r="Y162" s="49"/>
      <c r="Z162" s="49"/>
    </row>
    <row r="163" spans="1:26" ht="14.25" x14ac:dyDescent="0.2">
      <c r="A163" s="8"/>
      <c r="B163" s="8"/>
      <c r="C163" s="8"/>
      <c r="D163" s="8"/>
      <c r="E163" s="8"/>
      <c r="F163" s="8"/>
      <c r="G163" s="8"/>
      <c r="H163" s="8"/>
      <c r="I163" s="8"/>
      <c r="J163" s="8"/>
      <c r="K163" s="8"/>
      <c r="L163" s="8"/>
      <c r="M163" s="8"/>
      <c r="N163" s="8"/>
      <c r="O163" s="8"/>
      <c r="P163" s="8"/>
      <c r="Q163" s="8"/>
      <c r="R163" s="8"/>
      <c r="S163" s="8"/>
      <c r="T163" s="8"/>
      <c r="U163" s="8"/>
      <c r="V163" s="8"/>
      <c r="W163" s="49"/>
      <c r="X163" s="49"/>
      <c r="Y163" s="49"/>
      <c r="Z163" s="49"/>
    </row>
    <row r="164" spans="1:26" ht="14.25" x14ac:dyDescent="0.2">
      <c r="A164" s="8"/>
      <c r="B164" s="8"/>
      <c r="C164" s="8"/>
      <c r="D164" s="8"/>
      <c r="E164" s="8"/>
      <c r="F164" s="8"/>
      <c r="G164" s="8"/>
      <c r="H164" s="8"/>
      <c r="I164" s="8"/>
      <c r="J164" s="8"/>
      <c r="K164" s="8"/>
      <c r="L164" s="8"/>
      <c r="M164" s="8"/>
      <c r="N164" s="8"/>
      <c r="O164" s="8"/>
      <c r="P164" s="8"/>
      <c r="Q164" s="8"/>
      <c r="R164" s="8"/>
      <c r="S164" s="8"/>
      <c r="T164" s="8"/>
      <c r="U164" s="8"/>
      <c r="V164" s="8"/>
      <c r="W164" s="49"/>
      <c r="X164" s="49"/>
      <c r="Y164" s="49"/>
      <c r="Z164" s="49"/>
    </row>
    <row r="165" spans="1:26" ht="14.25" x14ac:dyDescent="0.2">
      <c r="A165" s="8"/>
      <c r="B165" s="8"/>
      <c r="C165" s="8"/>
      <c r="D165" s="8"/>
      <c r="E165" s="8"/>
      <c r="F165" s="8"/>
      <c r="G165" s="8"/>
      <c r="H165" s="8"/>
      <c r="I165" s="8"/>
      <c r="J165" s="8"/>
      <c r="K165" s="8"/>
      <c r="L165" s="8"/>
      <c r="M165" s="8"/>
      <c r="N165" s="8"/>
      <c r="O165" s="8"/>
      <c r="P165" s="8"/>
      <c r="Q165" s="8"/>
      <c r="R165" s="8"/>
      <c r="S165" s="8"/>
      <c r="T165" s="8"/>
      <c r="U165" s="8"/>
      <c r="V165" s="8"/>
      <c r="W165" s="49"/>
      <c r="X165" s="49"/>
      <c r="Y165" s="49"/>
      <c r="Z165" s="49"/>
    </row>
    <row r="166" spans="1:26" ht="14.25" x14ac:dyDescent="0.2">
      <c r="A166" s="8"/>
      <c r="B166" s="8"/>
      <c r="C166" s="8"/>
      <c r="D166" s="8"/>
      <c r="E166" s="8"/>
      <c r="F166" s="8"/>
      <c r="G166" s="8"/>
      <c r="H166" s="8"/>
      <c r="I166" s="8"/>
      <c r="J166" s="8"/>
      <c r="K166" s="8"/>
      <c r="L166" s="8"/>
      <c r="M166" s="8"/>
      <c r="N166" s="8"/>
      <c r="O166" s="8"/>
      <c r="P166" s="8"/>
      <c r="Q166" s="8"/>
      <c r="R166" s="8"/>
      <c r="S166" s="8"/>
      <c r="T166" s="8"/>
      <c r="U166" s="8"/>
      <c r="V166" s="8"/>
      <c r="W166" s="49"/>
      <c r="X166" s="49"/>
      <c r="Y166" s="49"/>
      <c r="Z166" s="49"/>
    </row>
    <row r="167" spans="1:26" ht="14.25" x14ac:dyDescent="0.2">
      <c r="A167" s="8"/>
      <c r="B167" s="8"/>
      <c r="C167" s="8"/>
      <c r="D167" s="8"/>
      <c r="E167" s="8"/>
      <c r="F167" s="8"/>
      <c r="G167" s="8"/>
      <c r="H167" s="8"/>
      <c r="I167" s="8"/>
      <c r="J167" s="8"/>
      <c r="K167" s="8"/>
      <c r="L167" s="8"/>
      <c r="M167" s="8"/>
      <c r="N167" s="8"/>
      <c r="O167" s="8"/>
      <c r="P167" s="8"/>
      <c r="Q167" s="8"/>
      <c r="R167" s="8"/>
      <c r="S167" s="8"/>
      <c r="T167" s="8"/>
      <c r="U167" s="8"/>
      <c r="V167" s="8"/>
      <c r="W167" s="49"/>
      <c r="X167" s="49"/>
      <c r="Y167" s="49"/>
      <c r="Z167" s="49"/>
    </row>
    <row r="168" spans="1:26" ht="14.25" x14ac:dyDescent="0.2">
      <c r="A168" s="8"/>
      <c r="B168" s="8"/>
      <c r="C168" s="8"/>
      <c r="D168" s="8"/>
      <c r="E168" s="8"/>
      <c r="F168" s="8"/>
      <c r="G168" s="8"/>
      <c r="H168" s="8"/>
      <c r="I168" s="8"/>
      <c r="J168" s="8"/>
      <c r="K168" s="8"/>
      <c r="L168" s="8"/>
      <c r="M168" s="8"/>
      <c r="N168" s="8"/>
      <c r="O168" s="8"/>
      <c r="P168" s="8"/>
      <c r="Q168" s="8"/>
      <c r="R168" s="8"/>
      <c r="S168" s="8"/>
      <c r="T168" s="8"/>
      <c r="U168" s="8"/>
      <c r="V168" s="8"/>
      <c r="W168" s="49"/>
      <c r="X168" s="49"/>
      <c r="Y168" s="49"/>
      <c r="Z168" s="49"/>
    </row>
    <row r="169" spans="1:26" ht="14.25" x14ac:dyDescent="0.2">
      <c r="A169" s="8"/>
      <c r="B169" s="8"/>
      <c r="C169" s="8"/>
      <c r="D169" s="8"/>
      <c r="E169" s="8"/>
      <c r="F169" s="8"/>
      <c r="G169" s="8"/>
      <c r="H169" s="8"/>
      <c r="I169" s="8"/>
      <c r="J169" s="8"/>
      <c r="K169" s="8"/>
      <c r="L169" s="8"/>
      <c r="M169" s="8"/>
      <c r="N169" s="8"/>
      <c r="O169" s="8"/>
      <c r="P169" s="8"/>
      <c r="Q169" s="8"/>
      <c r="R169" s="8"/>
      <c r="S169" s="8"/>
      <c r="T169" s="8"/>
      <c r="U169" s="8"/>
      <c r="V169" s="8"/>
      <c r="W169" s="49"/>
      <c r="X169" s="49"/>
      <c r="Y169" s="49"/>
      <c r="Z169" s="49"/>
    </row>
    <row r="170" spans="1:26" ht="14.25" x14ac:dyDescent="0.2">
      <c r="A170" s="8"/>
      <c r="B170" s="8"/>
      <c r="C170" s="8"/>
      <c r="D170" s="8"/>
      <c r="E170" s="8"/>
      <c r="F170" s="8"/>
      <c r="G170" s="8"/>
      <c r="H170" s="8"/>
      <c r="I170" s="8"/>
      <c r="J170" s="8"/>
      <c r="K170" s="8"/>
      <c r="L170" s="8"/>
      <c r="M170" s="8"/>
      <c r="N170" s="8"/>
      <c r="O170" s="8"/>
      <c r="P170" s="8"/>
      <c r="Q170" s="8"/>
      <c r="R170" s="8"/>
      <c r="S170" s="8"/>
      <c r="T170" s="8"/>
      <c r="U170" s="8"/>
      <c r="V170" s="8"/>
      <c r="W170" s="49"/>
      <c r="X170" s="49"/>
      <c r="Y170" s="49"/>
      <c r="Z170" s="49"/>
    </row>
    <row r="171" spans="1:26" ht="14.25" x14ac:dyDescent="0.2">
      <c r="A171" s="8"/>
      <c r="B171" s="8"/>
      <c r="C171" s="8"/>
      <c r="D171" s="8"/>
      <c r="E171" s="8"/>
      <c r="F171" s="8"/>
      <c r="G171" s="8"/>
      <c r="H171" s="8"/>
      <c r="I171" s="8"/>
      <c r="J171" s="8"/>
      <c r="K171" s="8"/>
      <c r="L171" s="8"/>
      <c r="M171" s="8"/>
      <c r="N171" s="8"/>
      <c r="O171" s="8"/>
      <c r="P171" s="8"/>
      <c r="Q171" s="8"/>
      <c r="R171" s="8"/>
      <c r="S171" s="8"/>
      <c r="T171" s="8"/>
      <c r="U171" s="8"/>
      <c r="V171" s="8"/>
      <c r="W171" s="49"/>
      <c r="X171" s="49"/>
      <c r="Y171" s="49"/>
      <c r="Z171" s="49"/>
    </row>
    <row r="172" spans="1:26" ht="14.25" x14ac:dyDescent="0.2">
      <c r="A172" s="8"/>
      <c r="B172" s="8"/>
      <c r="C172" s="8"/>
      <c r="D172" s="8"/>
      <c r="E172" s="8"/>
      <c r="F172" s="8"/>
      <c r="G172" s="8"/>
      <c r="H172" s="8"/>
      <c r="I172" s="8"/>
      <c r="J172" s="8"/>
      <c r="K172" s="8"/>
      <c r="L172" s="8"/>
      <c r="M172" s="8"/>
      <c r="N172" s="8"/>
      <c r="O172" s="8"/>
      <c r="P172" s="8"/>
      <c r="Q172" s="8"/>
      <c r="R172" s="8"/>
      <c r="S172" s="8"/>
      <c r="T172" s="8"/>
      <c r="U172" s="8"/>
      <c r="V172" s="8"/>
      <c r="W172" s="49"/>
      <c r="X172" s="49"/>
      <c r="Y172" s="49"/>
      <c r="Z172" s="49"/>
    </row>
    <row r="173" spans="1:26" ht="14.25" x14ac:dyDescent="0.2">
      <c r="A173" s="8"/>
      <c r="B173" s="8"/>
      <c r="C173" s="8"/>
      <c r="D173" s="8"/>
      <c r="E173" s="8"/>
      <c r="F173" s="8"/>
      <c r="G173" s="8"/>
      <c r="H173" s="8"/>
      <c r="I173" s="8"/>
      <c r="J173" s="8"/>
      <c r="K173" s="8"/>
      <c r="L173" s="8"/>
      <c r="M173" s="8"/>
      <c r="N173" s="8"/>
      <c r="O173" s="8"/>
      <c r="P173" s="8"/>
      <c r="Q173" s="8"/>
      <c r="R173" s="8"/>
      <c r="S173" s="8"/>
      <c r="T173" s="8"/>
      <c r="U173" s="8"/>
      <c r="V173" s="8"/>
      <c r="W173" s="49"/>
      <c r="X173" s="49"/>
      <c r="Y173" s="49"/>
      <c r="Z173" s="49"/>
    </row>
    <row r="174" spans="1:26" ht="14.25" x14ac:dyDescent="0.2">
      <c r="A174" s="8"/>
      <c r="B174" s="8"/>
      <c r="C174" s="8"/>
      <c r="D174" s="8"/>
      <c r="E174" s="8"/>
      <c r="F174" s="8"/>
      <c r="G174" s="8"/>
      <c r="H174" s="8"/>
      <c r="I174" s="8"/>
      <c r="J174" s="8"/>
      <c r="K174" s="8"/>
      <c r="L174" s="8"/>
      <c r="M174" s="8"/>
      <c r="N174" s="8"/>
      <c r="O174" s="8"/>
      <c r="P174" s="8"/>
      <c r="Q174" s="8"/>
      <c r="R174" s="8"/>
      <c r="S174" s="8"/>
      <c r="T174" s="8"/>
      <c r="U174" s="8"/>
      <c r="V174" s="8"/>
      <c r="W174" s="49"/>
      <c r="X174" s="49"/>
      <c r="Y174" s="49"/>
      <c r="Z174" s="49"/>
    </row>
    <row r="175" spans="1:26" ht="14.25" x14ac:dyDescent="0.2">
      <c r="A175" s="8"/>
      <c r="B175" s="8"/>
      <c r="C175" s="8"/>
      <c r="D175" s="8"/>
      <c r="E175" s="8"/>
      <c r="F175" s="8"/>
      <c r="G175" s="8"/>
      <c r="H175" s="8"/>
      <c r="I175" s="8"/>
      <c r="J175" s="8"/>
      <c r="K175" s="8"/>
      <c r="L175" s="8"/>
      <c r="M175" s="8"/>
      <c r="N175" s="8"/>
      <c r="O175" s="8"/>
      <c r="P175" s="8"/>
      <c r="Q175" s="8"/>
      <c r="R175" s="8"/>
      <c r="S175" s="8"/>
      <c r="T175" s="8"/>
      <c r="U175" s="8"/>
      <c r="V175" s="8"/>
      <c r="W175" s="49"/>
      <c r="X175" s="49"/>
      <c r="Y175" s="49"/>
      <c r="Z175" s="49"/>
    </row>
    <row r="176" spans="1:26" ht="14.25" x14ac:dyDescent="0.2">
      <c r="A176" s="8"/>
      <c r="B176" s="8"/>
      <c r="C176" s="8"/>
      <c r="D176" s="8"/>
      <c r="E176" s="8"/>
      <c r="F176" s="8"/>
      <c r="G176" s="8"/>
      <c r="H176" s="8"/>
      <c r="I176" s="8"/>
      <c r="J176" s="8"/>
      <c r="K176" s="8"/>
      <c r="L176" s="8"/>
      <c r="M176" s="8"/>
      <c r="N176" s="8"/>
      <c r="O176" s="8"/>
      <c r="P176" s="8"/>
      <c r="Q176" s="8"/>
      <c r="R176" s="8"/>
      <c r="S176" s="8"/>
      <c r="T176" s="8"/>
      <c r="U176" s="8"/>
      <c r="V176" s="8"/>
      <c r="W176" s="49"/>
      <c r="X176" s="49"/>
      <c r="Y176" s="49"/>
      <c r="Z176" s="49"/>
    </row>
    <row r="177" spans="1:26" ht="14.25" x14ac:dyDescent="0.2">
      <c r="A177" s="8"/>
      <c r="B177" s="8"/>
      <c r="C177" s="8"/>
      <c r="D177" s="8"/>
      <c r="E177" s="8"/>
      <c r="F177" s="8"/>
      <c r="G177" s="8"/>
      <c r="H177" s="8"/>
      <c r="I177" s="8"/>
      <c r="J177" s="8"/>
      <c r="K177" s="8"/>
      <c r="L177" s="8"/>
      <c r="M177" s="8"/>
      <c r="N177" s="8"/>
      <c r="O177" s="8"/>
      <c r="P177" s="8"/>
      <c r="Q177" s="8"/>
      <c r="R177" s="8"/>
      <c r="S177" s="8"/>
      <c r="T177" s="8"/>
      <c r="U177" s="8"/>
      <c r="V177" s="8"/>
      <c r="W177" s="49"/>
      <c r="X177" s="49"/>
      <c r="Y177" s="49"/>
      <c r="Z177" s="49"/>
    </row>
    <row r="178" spans="1:26" ht="14.25" x14ac:dyDescent="0.2">
      <c r="A178" s="8"/>
      <c r="B178" s="8"/>
      <c r="C178" s="8"/>
      <c r="D178" s="8"/>
      <c r="E178" s="8"/>
      <c r="F178" s="8"/>
      <c r="G178" s="8"/>
      <c r="H178" s="8"/>
      <c r="I178" s="8"/>
      <c r="J178" s="8"/>
      <c r="K178" s="8"/>
      <c r="L178" s="8"/>
      <c r="M178" s="8"/>
      <c r="N178" s="8"/>
      <c r="O178" s="8"/>
      <c r="P178" s="8"/>
      <c r="Q178" s="8"/>
      <c r="R178" s="8"/>
      <c r="S178" s="8"/>
      <c r="T178" s="8"/>
      <c r="U178" s="8"/>
      <c r="V178" s="8"/>
      <c r="W178" s="49"/>
      <c r="X178" s="49"/>
      <c r="Y178" s="49"/>
      <c r="Z178" s="49"/>
    </row>
    <row r="179" spans="1:26" ht="14.25" x14ac:dyDescent="0.2">
      <c r="A179" s="8"/>
      <c r="B179" s="8"/>
      <c r="C179" s="8"/>
      <c r="D179" s="8"/>
      <c r="E179" s="8"/>
      <c r="F179" s="8"/>
      <c r="G179" s="8"/>
      <c r="H179" s="8"/>
      <c r="I179" s="8"/>
      <c r="J179" s="8"/>
      <c r="K179" s="8"/>
      <c r="L179" s="8"/>
      <c r="M179" s="8"/>
      <c r="N179" s="8"/>
      <c r="O179" s="8"/>
      <c r="P179" s="8"/>
      <c r="Q179" s="8"/>
      <c r="R179" s="8"/>
      <c r="S179" s="8"/>
      <c r="T179" s="8"/>
      <c r="U179" s="8"/>
      <c r="V179" s="8"/>
      <c r="W179" s="49"/>
      <c r="X179" s="49"/>
      <c r="Y179" s="49"/>
      <c r="Z179" s="49"/>
    </row>
    <row r="180" spans="1:26" ht="14.25" x14ac:dyDescent="0.2">
      <c r="A180" s="8"/>
      <c r="B180" s="8"/>
      <c r="C180" s="8"/>
      <c r="D180" s="8"/>
      <c r="E180" s="8"/>
      <c r="F180" s="8"/>
      <c r="G180" s="8"/>
      <c r="H180" s="8"/>
      <c r="I180" s="8"/>
      <c r="J180" s="8"/>
      <c r="K180" s="8"/>
      <c r="L180" s="8"/>
      <c r="M180" s="8"/>
      <c r="N180" s="8"/>
      <c r="O180" s="8"/>
      <c r="P180" s="8"/>
      <c r="Q180" s="8"/>
      <c r="R180" s="8"/>
      <c r="S180" s="8"/>
      <c r="T180" s="8"/>
      <c r="U180" s="8"/>
      <c r="V180" s="8"/>
      <c r="W180" s="49"/>
      <c r="X180" s="49"/>
      <c r="Y180" s="49"/>
      <c r="Z180" s="49"/>
    </row>
    <row r="181" spans="1:26" ht="14.25" x14ac:dyDescent="0.2">
      <c r="A181" s="8"/>
      <c r="B181" s="8"/>
      <c r="C181" s="8"/>
      <c r="D181" s="8"/>
      <c r="E181" s="8"/>
      <c r="F181" s="8"/>
      <c r="G181" s="8"/>
      <c r="H181" s="8"/>
      <c r="I181" s="8"/>
      <c r="J181" s="8"/>
      <c r="K181" s="8"/>
      <c r="L181" s="8"/>
      <c r="M181" s="8"/>
      <c r="N181" s="8"/>
      <c r="O181" s="8"/>
      <c r="P181" s="8"/>
      <c r="Q181" s="8"/>
      <c r="R181" s="8"/>
      <c r="S181" s="8"/>
      <c r="T181" s="8"/>
      <c r="U181" s="8"/>
      <c r="V181" s="8"/>
      <c r="W181" s="49"/>
      <c r="X181" s="49"/>
      <c r="Y181" s="49"/>
      <c r="Z181" s="49"/>
    </row>
    <row r="182" spans="1:26" ht="14.25" x14ac:dyDescent="0.2">
      <c r="A182" s="8"/>
      <c r="B182" s="8"/>
      <c r="C182" s="8"/>
      <c r="D182" s="8"/>
      <c r="E182" s="8"/>
      <c r="F182" s="8"/>
      <c r="G182" s="8"/>
      <c r="H182" s="8"/>
      <c r="I182" s="8"/>
      <c r="J182" s="8"/>
      <c r="K182" s="8"/>
      <c r="L182" s="8"/>
      <c r="M182" s="8"/>
      <c r="N182" s="8"/>
      <c r="O182" s="8"/>
      <c r="P182" s="8"/>
      <c r="Q182" s="8"/>
      <c r="R182" s="8"/>
      <c r="S182" s="8"/>
      <c r="T182" s="8"/>
      <c r="U182" s="8"/>
      <c r="V182" s="8"/>
      <c r="W182" s="49"/>
      <c r="X182" s="49"/>
      <c r="Y182" s="49"/>
      <c r="Z182" s="49"/>
    </row>
    <row r="183" spans="1:26" ht="14.25" x14ac:dyDescent="0.2">
      <c r="A183" s="8"/>
      <c r="B183" s="8"/>
      <c r="C183" s="8"/>
      <c r="D183" s="8"/>
      <c r="E183" s="8"/>
      <c r="F183" s="8"/>
      <c r="G183" s="8"/>
      <c r="H183" s="8"/>
      <c r="I183" s="8"/>
      <c r="J183" s="8"/>
      <c r="K183" s="8"/>
      <c r="L183" s="8"/>
      <c r="M183" s="8"/>
      <c r="N183" s="8"/>
      <c r="O183" s="8"/>
      <c r="P183" s="8"/>
      <c r="Q183" s="8"/>
      <c r="R183" s="8"/>
      <c r="S183" s="8"/>
      <c r="T183" s="8"/>
      <c r="U183" s="8"/>
      <c r="V183" s="8"/>
      <c r="W183" s="49"/>
      <c r="X183" s="49"/>
      <c r="Y183" s="49"/>
      <c r="Z183" s="49"/>
    </row>
    <row r="184" spans="1:26" ht="14.25" x14ac:dyDescent="0.2">
      <c r="A184" s="8"/>
      <c r="B184" s="8"/>
      <c r="C184" s="8"/>
      <c r="D184" s="8"/>
      <c r="E184" s="8"/>
      <c r="F184" s="8"/>
      <c r="G184" s="8"/>
      <c r="H184" s="8"/>
      <c r="I184" s="8"/>
      <c r="J184" s="8"/>
      <c r="K184" s="8"/>
      <c r="L184" s="8"/>
      <c r="M184" s="8"/>
      <c r="N184" s="8"/>
      <c r="O184" s="8"/>
      <c r="P184" s="8"/>
      <c r="Q184" s="8"/>
      <c r="R184" s="8"/>
      <c r="S184" s="8"/>
      <c r="T184" s="8"/>
      <c r="U184" s="8"/>
      <c r="V184" s="8"/>
      <c r="W184" s="49"/>
      <c r="X184" s="49"/>
      <c r="Y184" s="49"/>
      <c r="Z184" s="49"/>
    </row>
    <row r="185" spans="1:26" ht="14.25" x14ac:dyDescent="0.2">
      <c r="A185" s="8"/>
      <c r="B185" s="8"/>
      <c r="C185" s="8"/>
      <c r="D185" s="8"/>
      <c r="E185" s="8"/>
      <c r="F185" s="8"/>
      <c r="G185" s="8"/>
      <c r="H185" s="8"/>
      <c r="I185" s="8"/>
      <c r="J185" s="8"/>
      <c r="K185" s="8"/>
      <c r="L185" s="8"/>
      <c r="M185" s="8"/>
      <c r="N185" s="8"/>
      <c r="O185" s="8"/>
      <c r="P185" s="8"/>
      <c r="Q185" s="8"/>
      <c r="R185" s="8"/>
      <c r="S185" s="8"/>
      <c r="T185" s="8"/>
      <c r="U185" s="8"/>
      <c r="V185" s="8"/>
      <c r="W185" s="49"/>
      <c r="X185" s="49"/>
      <c r="Y185" s="49"/>
      <c r="Z185" s="49"/>
    </row>
    <row r="186" spans="1:26" ht="14.25" x14ac:dyDescent="0.2">
      <c r="A186" s="8"/>
      <c r="B186" s="8"/>
      <c r="C186" s="8"/>
      <c r="D186" s="8"/>
      <c r="E186" s="8"/>
      <c r="F186" s="8"/>
      <c r="G186" s="8"/>
      <c r="H186" s="8"/>
      <c r="I186" s="8"/>
      <c r="J186" s="8"/>
      <c r="K186" s="8"/>
      <c r="L186" s="8"/>
      <c r="M186" s="8"/>
      <c r="N186" s="8"/>
      <c r="O186" s="8"/>
      <c r="P186" s="8"/>
      <c r="Q186" s="8"/>
      <c r="R186" s="8"/>
      <c r="S186" s="8"/>
      <c r="T186" s="8"/>
      <c r="U186" s="8"/>
      <c r="V186" s="8"/>
      <c r="W186" s="49"/>
      <c r="X186" s="49"/>
      <c r="Y186" s="49"/>
      <c r="Z186" s="49"/>
    </row>
    <row r="187" spans="1:26" ht="14.25" x14ac:dyDescent="0.2">
      <c r="A187" s="8"/>
      <c r="B187" s="8"/>
      <c r="C187" s="8"/>
      <c r="D187" s="8"/>
      <c r="E187" s="8"/>
      <c r="F187" s="8"/>
      <c r="G187" s="8"/>
      <c r="H187" s="8"/>
      <c r="I187" s="8"/>
      <c r="J187" s="8"/>
      <c r="K187" s="8"/>
      <c r="L187" s="8"/>
      <c r="M187" s="8"/>
      <c r="N187" s="8"/>
      <c r="O187" s="8"/>
      <c r="P187" s="8"/>
      <c r="Q187" s="8"/>
      <c r="R187" s="8"/>
      <c r="S187" s="8"/>
      <c r="T187" s="8"/>
      <c r="U187" s="8"/>
      <c r="V187" s="8"/>
      <c r="W187" s="49"/>
      <c r="X187" s="49"/>
      <c r="Y187" s="49"/>
      <c r="Z187" s="49"/>
    </row>
    <row r="188" spans="1:26" ht="14.25" x14ac:dyDescent="0.2">
      <c r="A188" s="8"/>
      <c r="B188" s="8"/>
      <c r="C188" s="8"/>
      <c r="D188" s="8"/>
      <c r="E188" s="8"/>
      <c r="F188" s="8"/>
      <c r="G188" s="8"/>
      <c r="H188" s="8"/>
      <c r="I188" s="8"/>
      <c r="J188" s="8"/>
      <c r="K188" s="8"/>
      <c r="L188" s="8"/>
      <c r="M188" s="8"/>
      <c r="N188" s="8"/>
      <c r="O188" s="8"/>
      <c r="P188" s="8"/>
      <c r="Q188" s="8"/>
      <c r="R188" s="8"/>
      <c r="S188" s="8"/>
      <c r="T188" s="8"/>
      <c r="U188" s="8"/>
      <c r="V188" s="8"/>
      <c r="W188" s="49"/>
      <c r="X188" s="49"/>
      <c r="Y188" s="49"/>
      <c r="Z188" s="49"/>
    </row>
    <row r="189" spans="1:26" ht="14.25" x14ac:dyDescent="0.2">
      <c r="A189" s="8"/>
      <c r="B189" s="8"/>
      <c r="C189" s="8"/>
      <c r="D189" s="8"/>
      <c r="E189" s="8"/>
      <c r="F189" s="8"/>
      <c r="G189" s="8"/>
      <c r="H189" s="8"/>
      <c r="I189" s="8"/>
      <c r="J189" s="8"/>
      <c r="K189" s="8"/>
      <c r="L189" s="8"/>
      <c r="M189" s="8"/>
      <c r="N189" s="8"/>
      <c r="O189" s="8"/>
      <c r="P189" s="8"/>
      <c r="Q189" s="8"/>
      <c r="R189" s="8"/>
      <c r="S189" s="8"/>
      <c r="T189" s="8"/>
      <c r="U189" s="8"/>
      <c r="V189" s="8"/>
      <c r="W189" s="49"/>
      <c r="X189" s="49"/>
      <c r="Y189" s="49"/>
      <c r="Z189" s="49"/>
    </row>
    <row r="190" spans="1:26" ht="14.25" x14ac:dyDescent="0.2">
      <c r="A190" s="8"/>
      <c r="B190" s="8"/>
      <c r="C190" s="8"/>
      <c r="D190" s="8"/>
      <c r="E190" s="8"/>
      <c r="F190" s="8"/>
      <c r="G190" s="8"/>
      <c r="H190" s="8"/>
      <c r="I190" s="8"/>
      <c r="J190" s="8"/>
      <c r="K190" s="8"/>
      <c r="L190" s="8"/>
      <c r="M190" s="8"/>
      <c r="N190" s="8"/>
      <c r="O190" s="8"/>
      <c r="P190" s="8"/>
      <c r="Q190" s="8"/>
      <c r="R190" s="8"/>
      <c r="S190" s="8"/>
      <c r="T190" s="8"/>
      <c r="U190" s="8"/>
      <c r="V190" s="8"/>
      <c r="W190" s="49"/>
      <c r="X190" s="49"/>
      <c r="Y190" s="49"/>
      <c r="Z190" s="49"/>
    </row>
    <row r="191" spans="1:26" ht="14.25" x14ac:dyDescent="0.2">
      <c r="A191" s="8"/>
      <c r="B191" s="8"/>
      <c r="C191" s="8"/>
      <c r="D191" s="8"/>
      <c r="E191" s="8"/>
      <c r="F191" s="8"/>
      <c r="G191" s="8"/>
      <c r="H191" s="8"/>
      <c r="I191" s="8"/>
      <c r="J191" s="8"/>
      <c r="K191" s="8"/>
      <c r="L191" s="8"/>
      <c r="M191" s="8"/>
      <c r="N191" s="8"/>
      <c r="O191" s="8"/>
      <c r="P191" s="8"/>
      <c r="Q191" s="8"/>
      <c r="R191" s="8"/>
      <c r="S191" s="8"/>
      <c r="T191" s="8"/>
      <c r="U191" s="8"/>
      <c r="V191" s="8"/>
      <c r="W191" s="49"/>
      <c r="X191" s="49"/>
      <c r="Y191" s="49"/>
      <c r="Z191" s="49"/>
    </row>
    <row r="192" spans="1:26" ht="14.25" x14ac:dyDescent="0.2">
      <c r="A192" s="8"/>
      <c r="B192" s="8"/>
      <c r="C192" s="8"/>
      <c r="D192" s="8"/>
      <c r="E192" s="8"/>
      <c r="F192" s="8"/>
      <c r="G192" s="8"/>
      <c r="H192" s="8"/>
      <c r="I192" s="8"/>
      <c r="J192" s="8"/>
      <c r="K192" s="8"/>
      <c r="L192" s="8"/>
      <c r="M192" s="8"/>
      <c r="N192" s="8"/>
      <c r="O192" s="8"/>
      <c r="P192" s="8"/>
      <c r="Q192" s="8"/>
      <c r="R192" s="8"/>
      <c r="S192" s="8"/>
      <c r="T192" s="8"/>
      <c r="U192" s="8"/>
      <c r="V192" s="8"/>
      <c r="W192" s="49"/>
      <c r="X192" s="49"/>
      <c r="Y192" s="49"/>
      <c r="Z192" s="49"/>
    </row>
    <row r="193" spans="1:26" ht="14.25" x14ac:dyDescent="0.2">
      <c r="A193" s="8"/>
      <c r="B193" s="8"/>
      <c r="C193" s="8"/>
      <c r="D193" s="8"/>
      <c r="E193" s="8"/>
      <c r="F193" s="8"/>
      <c r="G193" s="8"/>
      <c r="H193" s="8"/>
      <c r="I193" s="8"/>
      <c r="J193" s="8"/>
      <c r="K193" s="8"/>
      <c r="L193" s="8"/>
      <c r="M193" s="8"/>
      <c r="N193" s="8"/>
      <c r="O193" s="8"/>
      <c r="P193" s="8"/>
      <c r="Q193" s="8"/>
      <c r="R193" s="8"/>
      <c r="S193" s="8"/>
      <c r="T193" s="8"/>
      <c r="U193" s="8"/>
      <c r="V193" s="8"/>
      <c r="W193" s="49"/>
      <c r="X193" s="49"/>
      <c r="Y193" s="49"/>
      <c r="Z193" s="49"/>
    </row>
    <row r="194" spans="1:26" ht="14.25" x14ac:dyDescent="0.2">
      <c r="A194" s="8"/>
      <c r="B194" s="8"/>
      <c r="C194" s="8"/>
      <c r="D194" s="8"/>
      <c r="E194" s="8"/>
      <c r="F194" s="8"/>
      <c r="G194" s="8"/>
      <c r="H194" s="8"/>
      <c r="I194" s="8"/>
      <c r="J194" s="8"/>
      <c r="K194" s="8"/>
      <c r="L194" s="8"/>
      <c r="M194" s="8"/>
      <c r="N194" s="8"/>
      <c r="O194" s="8"/>
      <c r="P194" s="8"/>
      <c r="Q194" s="8"/>
      <c r="R194" s="8"/>
      <c r="S194" s="8"/>
      <c r="T194" s="8"/>
      <c r="U194" s="8"/>
      <c r="V194" s="8"/>
      <c r="W194" s="49"/>
      <c r="X194" s="49"/>
      <c r="Y194" s="49"/>
      <c r="Z194" s="49"/>
    </row>
    <row r="195" spans="1:26" ht="14.25" x14ac:dyDescent="0.2">
      <c r="A195" s="8"/>
      <c r="B195" s="8"/>
      <c r="C195" s="8"/>
      <c r="D195" s="8"/>
      <c r="E195" s="8"/>
      <c r="F195" s="8"/>
      <c r="G195" s="8"/>
      <c r="H195" s="8"/>
      <c r="I195" s="8"/>
      <c r="J195" s="8"/>
      <c r="K195" s="8"/>
      <c r="L195" s="8"/>
      <c r="M195" s="8"/>
      <c r="N195" s="8"/>
      <c r="O195" s="8"/>
      <c r="P195" s="8"/>
      <c r="Q195" s="8"/>
      <c r="R195" s="8"/>
      <c r="S195" s="8"/>
      <c r="T195" s="8"/>
      <c r="U195" s="8"/>
      <c r="V195" s="8"/>
      <c r="W195" s="49"/>
      <c r="X195" s="49"/>
      <c r="Y195" s="49"/>
      <c r="Z195" s="49"/>
    </row>
    <row r="196" spans="1:26" ht="14.25" x14ac:dyDescent="0.2">
      <c r="A196" s="8"/>
      <c r="B196" s="8"/>
      <c r="C196" s="8"/>
      <c r="D196" s="8"/>
      <c r="E196" s="8"/>
      <c r="F196" s="8"/>
      <c r="G196" s="8"/>
      <c r="H196" s="8"/>
      <c r="I196" s="8"/>
      <c r="J196" s="8"/>
      <c r="K196" s="8"/>
      <c r="L196" s="8"/>
      <c r="M196" s="8"/>
      <c r="N196" s="8"/>
      <c r="O196" s="8"/>
      <c r="P196" s="8"/>
      <c r="Q196" s="8"/>
      <c r="R196" s="8"/>
      <c r="S196" s="8"/>
      <c r="T196" s="8"/>
      <c r="U196" s="8"/>
      <c r="V196" s="8"/>
      <c r="W196" s="49"/>
      <c r="X196" s="49"/>
      <c r="Y196" s="49"/>
      <c r="Z196" s="49"/>
    </row>
    <row r="197" spans="1:26" ht="14.25" x14ac:dyDescent="0.2">
      <c r="A197" s="8"/>
      <c r="B197" s="8"/>
      <c r="C197" s="8"/>
      <c r="D197" s="8"/>
      <c r="E197" s="8"/>
      <c r="F197" s="8"/>
      <c r="G197" s="8"/>
      <c r="H197" s="8"/>
      <c r="I197" s="8"/>
      <c r="J197" s="8"/>
      <c r="K197" s="8"/>
      <c r="L197" s="8"/>
      <c r="M197" s="8"/>
      <c r="N197" s="8"/>
      <c r="O197" s="8"/>
      <c r="P197" s="8"/>
      <c r="Q197" s="8"/>
      <c r="R197" s="8"/>
      <c r="S197" s="8"/>
      <c r="T197" s="8"/>
      <c r="U197" s="8"/>
      <c r="V197" s="8"/>
      <c r="W197" s="49"/>
      <c r="X197" s="49"/>
      <c r="Y197" s="49"/>
      <c r="Z197" s="49"/>
    </row>
    <row r="198" spans="1:26" ht="14.25" x14ac:dyDescent="0.2">
      <c r="A198" s="8"/>
      <c r="B198" s="8"/>
      <c r="C198" s="8"/>
      <c r="D198" s="8"/>
      <c r="E198" s="8"/>
      <c r="F198" s="8"/>
      <c r="G198" s="8"/>
      <c r="H198" s="8"/>
      <c r="I198" s="8"/>
      <c r="J198" s="8"/>
      <c r="K198" s="8"/>
      <c r="L198" s="8"/>
      <c r="M198" s="8"/>
      <c r="N198" s="8"/>
      <c r="O198" s="8"/>
      <c r="P198" s="8"/>
      <c r="Q198" s="8"/>
      <c r="R198" s="8"/>
      <c r="S198" s="8"/>
      <c r="T198" s="8"/>
      <c r="U198" s="8"/>
      <c r="V198" s="8"/>
      <c r="W198" s="49"/>
      <c r="X198" s="49"/>
      <c r="Y198" s="49"/>
      <c r="Z198" s="49"/>
    </row>
    <row r="199" spans="1:26" ht="14.25" x14ac:dyDescent="0.2">
      <c r="A199" s="8"/>
      <c r="B199" s="8"/>
      <c r="C199" s="8"/>
      <c r="D199" s="8"/>
      <c r="E199" s="8"/>
      <c r="F199" s="8"/>
      <c r="G199" s="8"/>
      <c r="H199" s="8"/>
      <c r="I199" s="8"/>
      <c r="J199" s="8"/>
      <c r="K199" s="8"/>
      <c r="L199" s="8"/>
      <c r="M199" s="8"/>
      <c r="N199" s="8"/>
      <c r="O199" s="8"/>
      <c r="P199" s="8"/>
      <c r="Q199" s="8"/>
      <c r="R199" s="8"/>
      <c r="S199" s="8"/>
      <c r="T199" s="8"/>
      <c r="U199" s="8"/>
      <c r="V199" s="8"/>
      <c r="W199" s="49"/>
      <c r="X199" s="49"/>
      <c r="Y199" s="49"/>
      <c r="Z199" s="49"/>
    </row>
    <row r="200" spans="1:26" ht="14.25" x14ac:dyDescent="0.2">
      <c r="A200" s="8"/>
      <c r="B200" s="8"/>
      <c r="C200" s="8"/>
      <c r="D200" s="8"/>
      <c r="E200" s="8"/>
      <c r="F200" s="8"/>
      <c r="G200" s="8"/>
      <c r="H200" s="8"/>
      <c r="I200" s="8"/>
      <c r="J200" s="8"/>
      <c r="K200" s="8"/>
      <c r="L200" s="8"/>
      <c r="M200" s="8"/>
      <c r="N200" s="8"/>
      <c r="O200" s="8"/>
      <c r="P200" s="8"/>
      <c r="Q200" s="8"/>
      <c r="R200" s="8"/>
      <c r="S200" s="8"/>
      <c r="T200" s="8"/>
      <c r="U200" s="8"/>
      <c r="V200" s="8"/>
      <c r="W200" s="49"/>
      <c r="X200" s="49"/>
      <c r="Y200" s="49"/>
      <c r="Z200" s="49"/>
    </row>
    <row r="201" spans="1:26" ht="14.25" x14ac:dyDescent="0.2">
      <c r="A201" s="8"/>
      <c r="B201" s="8"/>
      <c r="C201" s="8"/>
      <c r="D201" s="8"/>
      <c r="E201" s="8"/>
      <c r="F201" s="8"/>
      <c r="G201" s="8"/>
      <c r="H201" s="8"/>
      <c r="I201" s="8"/>
      <c r="J201" s="49"/>
      <c r="K201" s="49"/>
      <c r="L201" s="49"/>
      <c r="M201" s="49"/>
      <c r="N201" s="49"/>
      <c r="O201" s="49"/>
      <c r="P201" s="49"/>
      <c r="Q201" s="49"/>
      <c r="R201" s="49"/>
      <c r="S201" s="49"/>
      <c r="T201" s="49"/>
      <c r="U201" s="49"/>
      <c r="V201" s="49"/>
      <c r="W201" s="49"/>
      <c r="X201" s="49"/>
      <c r="Y201" s="49"/>
      <c r="Z201" s="49"/>
    </row>
    <row r="202" spans="1:26" ht="14.25" x14ac:dyDescent="0.2">
      <c r="A202" s="8"/>
      <c r="B202" s="8"/>
      <c r="C202" s="8"/>
      <c r="D202" s="8"/>
      <c r="E202" s="8"/>
      <c r="F202" s="8"/>
      <c r="G202" s="8"/>
      <c r="H202" s="8"/>
      <c r="I202" s="8"/>
      <c r="J202" s="49"/>
      <c r="K202" s="49"/>
      <c r="L202" s="49"/>
      <c r="M202" s="49"/>
      <c r="N202" s="49"/>
      <c r="O202" s="49"/>
      <c r="P202" s="49"/>
      <c r="Q202" s="49"/>
      <c r="R202" s="49"/>
      <c r="S202" s="49"/>
      <c r="T202" s="49"/>
      <c r="U202" s="49"/>
      <c r="V202" s="49"/>
      <c r="W202" s="49"/>
      <c r="X202" s="49"/>
      <c r="Y202" s="49"/>
      <c r="Z202" s="49"/>
    </row>
    <row r="203" spans="1:26" ht="14.25" x14ac:dyDescent="0.2">
      <c r="A203" s="8"/>
      <c r="B203" s="8"/>
      <c r="C203" s="8"/>
      <c r="D203" s="8"/>
      <c r="E203" s="8"/>
      <c r="F203" s="8"/>
      <c r="G203" s="8"/>
      <c r="H203" s="8"/>
      <c r="I203" s="8"/>
      <c r="J203" s="49"/>
      <c r="K203" s="49"/>
      <c r="L203" s="49"/>
      <c r="M203" s="49"/>
      <c r="N203" s="49"/>
      <c r="O203" s="49"/>
      <c r="P203" s="49"/>
      <c r="Q203" s="49"/>
      <c r="R203" s="49"/>
      <c r="S203" s="49"/>
      <c r="T203" s="49"/>
      <c r="U203" s="49"/>
      <c r="V203" s="49"/>
      <c r="W203" s="49"/>
      <c r="X203" s="49"/>
      <c r="Y203" s="49"/>
      <c r="Z203" s="49"/>
    </row>
    <row r="204" spans="1:26" ht="14.25" x14ac:dyDescent="0.2">
      <c r="A204" s="8"/>
      <c r="B204" s="8"/>
      <c r="C204" s="8"/>
      <c r="D204" s="8"/>
      <c r="E204" s="8"/>
      <c r="F204" s="8"/>
      <c r="G204" s="8"/>
      <c r="H204" s="8"/>
      <c r="I204" s="8"/>
      <c r="J204" s="49"/>
      <c r="K204" s="49"/>
      <c r="L204" s="49"/>
      <c r="M204" s="49"/>
      <c r="N204" s="49"/>
      <c r="O204" s="49"/>
      <c r="P204" s="49"/>
      <c r="Q204" s="49"/>
      <c r="R204" s="49"/>
      <c r="S204" s="49"/>
      <c r="T204" s="49"/>
      <c r="U204" s="49"/>
      <c r="V204" s="49"/>
      <c r="W204" s="49"/>
      <c r="X204" s="49"/>
      <c r="Y204" s="49"/>
      <c r="Z204" s="49"/>
    </row>
    <row r="205" spans="1:26" ht="14.25" x14ac:dyDescent="0.2">
      <c r="A205" s="8"/>
      <c r="B205" s="8"/>
      <c r="C205" s="8"/>
      <c r="D205" s="8"/>
      <c r="E205" s="8"/>
      <c r="F205" s="8"/>
      <c r="G205" s="8"/>
      <c r="H205" s="8"/>
      <c r="I205" s="8"/>
      <c r="J205" s="49"/>
      <c r="K205" s="49"/>
      <c r="L205" s="49"/>
      <c r="M205" s="49"/>
      <c r="N205" s="49"/>
      <c r="O205" s="49"/>
      <c r="P205" s="49"/>
      <c r="Q205" s="49"/>
      <c r="R205" s="49"/>
      <c r="S205" s="49"/>
      <c r="T205" s="49"/>
      <c r="U205" s="49"/>
      <c r="V205" s="49"/>
      <c r="W205" s="49"/>
      <c r="X205" s="49"/>
      <c r="Y205" s="49"/>
      <c r="Z205" s="49"/>
    </row>
    <row r="206" spans="1:26" ht="14.25" x14ac:dyDescent="0.2">
      <c r="A206" s="8"/>
      <c r="B206" s="8"/>
      <c r="C206" s="8"/>
      <c r="D206" s="8"/>
      <c r="E206" s="8"/>
      <c r="F206" s="8"/>
      <c r="G206" s="8"/>
      <c r="H206" s="8"/>
      <c r="I206" s="8"/>
      <c r="J206" s="49"/>
      <c r="K206" s="49"/>
      <c r="L206" s="49"/>
      <c r="M206" s="49"/>
      <c r="N206" s="49"/>
      <c r="O206" s="49"/>
      <c r="P206" s="49"/>
      <c r="Q206" s="49"/>
      <c r="R206" s="49"/>
      <c r="S206" s="49"/>
      <c r="T206" s="49"/>
      <c r="U206" s="49"/>
      <c r="V206" s="49"/>
      <c r="W206" s="49"/>
      <c r="X206" s="49"/>
      <c r="Y206" s="49"/>
      <c r="Z206" s="49"/>
    </row>
    <row r="207" spans="1:26" ht="14.25" x14ac:dyDescent="0.2">
      <c r="A207" s="8"/>
      <c r="B207" s="8"/>
      <c r="C207" s="8"/>
      <c r="D207" s="8"/>
      <c r="E207" s="8"/>
      <c r="F207" s="8"/>
      <c r="G207" s="8"/>
      <c r="H207" s="8"/>
      <c r="I207" s="8"/>
      <c r="J207" s="49"/>
      <c r="K207" s="49"/>
      <c r="L207" s="49"/>
      <c r="M207" s="49"/>
      <c r="N207" s="49"/>
      <c r="O207" s="49"/>
      <c r="P207" s="49"/>
      <c r="Q207" s="49"/>
      <c r="R207" s="49"/>
      <c r="S207" s="49"/>
      <c r="T207" s="49"/>
      <c r="U207" s="49"/>
      <c r="V207" s="49"/>
      <c r="W207" s="49"/>
      <c r="X207" s="49"/>
      <c r="Y207" s="49"/>
      <c r="Z207" s="49"/>
    </row>
    <row r="208" spans="1:26" ht="14.25" x14ac:dyDescent="0.2">
      <c r="A208" s="8"/>
      <c r="B208" s="8"/>
      <c r="C208" s="8"/>
      <c r="D208" s="8"/>
      <c r="E208" s="8"/>
      <c r="F208" s="8"/>
      <c r="G208" s="8"/>
      <c r="H208" s="8"/>
      <c r="I208" s="8"/>
      <c r="J208" s="49"/>
      <c r="K208" s="49"/>
      <c r="L208" s="49"/>
      <c r="M208" s="49"/>
      <c r="N208" s="49"/>
      <c r="O208" s="49"/>
      <c r="P208" s="49"/>
      <c r="Q208" s="49"/>
      <c r="R208" s="49"/>
      <c r="S208" s="49"/>
      <c r="T208" s="49"/>
      <c r="U208" s="49"/>
      <c r="V208" s="49"/>
      <c r="W208" s="49"/>
      <c r="X208" s="49"/>
      <c r="Y208" s="49"/>
      <c r="Z208" s="49"/>
    </row>
    <row r="209" spans="1:26" ht="14.25" x14ac:dyDescent="0.2">
      <c r="A209" s="8"/>
      <c r="B209" s="8"/>
      <c r="C209" s="8"/>
      <c r="D209" s="8"/>
      <c r="E209" s="8"/>
      <c r="F209" s="8"/>
      <c r="G209" s="8"/>
      <c r="H209" s="8"/>
      <c r="I209" s="8"/>
      <c r="J209" s="49"/>
      <c r="K209" s="49"/>
      <c r="L209" s="49"/>
      <c r="M209" s="49"/>
      <c r="N209" s="49"/>
      <c r="O209" s="49"/>
      <c r="P209" s="49"/>
      <c r="Q209" s="49"/>
      <c r="R209" s="49"/>
      <c r="S209" s="49"/>
      <c r="T209" s="49"/>
      <c r="U209" s="49"/>
      <c r="V209" s="49"/>
      <c r="W209" s="49"/>
      <c r="X209" s="49"/>
      <c r="Y209" s="49"/>
      <c r="Z209" s="49"/>
    </row>
    <row r="210" spans="1:26" ht="14.25" x14ac:dyDescent="0.2">
      <c r="A210" s="8"/>
      <c r="B210" s="8"/>
      <c r="C210" s="8"/>
      <c r="D210" s="8"/>
      <c r="E210" s="8"/>
      <c r="F210" s="8"/>
      <c r="G210" s="8"/>
      <c r="H210" s="8"/>
      <c r="I210" s="8"/>
      <c r="J210" s="49"/>
      <c r="K210" s="49"/>
      <c r="L210" s="49"/>
      <c r="M210" s="49"/>
      <c r="N210" s="49"/>
      <c r="O210" s="49"/>
      <c r="P210" s="49"/>
      <c r="Q210" s="49"/>
      <c r="R210" s="49"/>
      <c r="S210" s="49"/>
      <c r="T210" s="49"/>
      <c r="U210" s="49"/>
      <c r="V210" s="49"/>
      <c r="W210" s="49"/>
      <c r="X210" s="49"/>
      <c r="Y210" s="49"/>
      <c r="Z210" s="49"/>
    </row>
    <row r="211" spans="1:26" ht="14.25" x14ac:dyDescent="0.2">
      <c r="A211" s="8"/>
      <c r="B211" s="8"/>
      <c r="C211" s="8"/>
      <c r="D211" s="8"/>
      <c r="E211" s="8"/>
      <c r="F211" s="8"/>
      <c r="G211" s="8"/>
      <c r="H211" s="8"/>
      <c r="I211" s="8"/>
      <c r="J211" s="49"/>
      <c r="K211" s="49"/>
      <c r="L211" s="49"/>
      <c r="M211" s="49"/>
      <c r="N211" s="49"/>
      <c r="O211" s="49"/>
      <c r="P211" s="49"/>
      <c r="Q211" s="49"/>
      <c r="R211" s="49"/>
      <c r="S211" s="49"/>
      <c r="T211" s="49"/>
      <c r="U211" s="49"/>
      <c r="V211" s="49"/>
      <c r="W211" s="49"/>
      <c r="X211" s="49"/>
      <c r="Y211" s="49"/>
      <c r="Z211" s="49"/>
    </row>
    <row r="212" spans="1:26" ht="14.25" x14ac:dyDescent="0.2">
      <c r="A212" s="8"/>
      <c r="B212" s="8"/>
      <c r="C212" s="8"/>
      <c r="D212" s="8"/>
      <c r="E212" s="8"/>
      <c r="F212" s="8"/>
      <c r="G212" s="8"/>
      <c r="H212" s="8"/>
      <c r="I212" s="8"/>
      <c r="J212" s="49"/>
      <c r="K212" s="49"/>
      <c r="L212" s="49"/>
      <c r="M212" s="49"/>
      <c r="N212" s="49"/>
      <c r="O212" s="49"/>
      <c r="P212" s="49"/>
      <c r="Q212" s="49"/>
      <c r="R212" s="49"/>
      <c r="S212" s="49"/>
      <c r="T212" s="49"/>
      <c r="U212" s="49"/>
      <c r="V212" s="49"/>
      <c r="W212" s="49"/>
      <c r="X212" s="49"/>
      <c r="Y212" s="49"/>
      <c r="Z212" s="49"/>
    </row>
    <row r="213" spans="1:26" ht="14.25" x14ac:dyDescent="0.2">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spans="1:26" ht="14.25" x14ac:dyDescent="0.2">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spans="1:26" ht="14.25" x14ac:dyDescent="0.2">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spans="1:26" ht="14.25" x14ac:dyDescent="0.2">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spans="1:26" ht="14.25" x14ac:dyDescent="0.2">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spans="1:26" ht="14.25" x14ac:dyDescent="0.2">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spans="1:26" ht="14.25" x14ac:dyDescent="0.2">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spans="1:26" ht="14.25" x14ac:dyDescent="0.2">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spans="1:26" ht="14.25" x14ac:dyDescent="0.2">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spans="1:26" ht="14.25" x14ac:dyDescent="0.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spans="1:26" ht="14.25" x14ac:dyDescent="0.2">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spans="1:26" ht="14.25" x14ac:dyDescent="0.2">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spans="1:26" ht="14.25" x14ac:dyDescent="0.2">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spans="1:26" ht="14.25" x14ac:dyDescent="0.2">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spans="1:26" ht="14.25" x14ac:dyDescent="0.2">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spans="1:26" ht="14.25" x14ac:dyDescent="0.2">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spans="1:26" ht="14.25" x14ac:dyDescent="0.2">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spans="1:26" ht="14.25" x14ac:dyDescent="0.2">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spans="1:26" ht="14.25" x14ac:dyDescent="0.2">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spans="1:26" ht="14.25" x14ac:dyDescent="0.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spans="1:26" ht="14.25" x14ac:dyDescent="0.2">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spans="1:26" ht="14.25" x14ac:dyDescent="0.2">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spans="1:26" ht="14.25" x14ac:dyDescent="0.2">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spans="1:26" ht="14.25" x14ac:dyDescent="0.2">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spans="1:26" ht="14.25" x14ac:dyDescent="0.2">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spans="1:26" ht="14.25" x14ac:dyDescent="0.2">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spans="1:26" ht="14.25" x14ac:dyDescent="0.2">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spans="1:26" ht="14.25" x14ac:dyDescent="0.2">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spans="1:26" ht="14.25" x14ac:dyDescent="0.2">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spans="1:26" ht="14.25" x14ac:dyDescent="0.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spans="1:26" ht="14.25" x14ac:dyDescent="0.2">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spans="1:26" ht="14.25" x14ac:dyDescent="0.2">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spans="1:26" ht="14.25" x14ac:dyDescent="0.2">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spans="1:26" ht="14.25" x14ac:dyDescent="0.2">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spans="1:26" ht="14.25" x14ac:dyDescent="0.2">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spans="1:26" ht="14.25" x14ac:dyDescent="0.2">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spans="1:26" ht="14.25" x14ac:dyDescent="0.2">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spans="1:26" ht="14.25" x14ac:dyDescent="0.2">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spans="1:26" ht="14.25" x14ac:dyDescent="0.2">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spans="1:26" ht="14.25" x14ac:dyDescent="0.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spans="1:26" ht="14.25" x14ac:dyDescent="0.2">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spans="1:26" ht="14.25" x14ac:dyDescent="0.2">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spans="1:26" ht="14.25" x14ac:dyDescent="0.2">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spans="1:26" ht="14.25" x14ac:dyDescent="0.2">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spans="1:26" ht="14.25" x14ac:dyDescent="0.2">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spans="1:26" ht="14.25" x14ac:dyDescent="0.2">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14.25" x14ac:dyDescent="0.2">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14.25" x14ac:dyDescent="0.2">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14.25" x14ac:dyDescent="0.2">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14.25" x14ac:dyDescent="0.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14.25" x14ac:dyDescent="0.2">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14.25" x14ac:dyDescent="0.2">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14.25" x14ac:dyDescent="0.2">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14.25" x14ac:dyDescent="0.2">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14.25" x14ac:dyDescent="0.2">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14.25" x14ac:dyDescent="0.2">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14.25" x14ac:dyDescent="0.2">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14.25" x14ac:dyDescent="0.2">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14.25" x14ac:dyDescent="0.2">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14.25" x14ac:dyDescent="0.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14.25" x14ac:dyDescent="0.2">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14.25" x14ac:dyDescent="0.2">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14.25" x14ac:dyDescent="0.2">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14.25" x14ac:dyDescent="0.2">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14.25" x14ac:dyDescent="0.2">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14.25" x14ac:dyDescent="0.2">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14.25" x14ac:dyDescent="0.2">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14.25" x14ac:dyDescent="0.2">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14.25" x14ac:dyDescent="0.2">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14.25" x14ac:dyDescent="0.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14.25" x14ac:dyDescent="0.2">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14.25" x14ac:dyDescent="0.2">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14.25" x14ac:dyDescent="0.2">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14.25" x14ac:dyDescent="0.2">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14.25" x14ac:dyDescent="0.2">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14.25" x14ac:dyDescent="0.2">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14.25" x14ac:dyDescent="0.2">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14.25" x14ac:dyDescent="0.2">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14.25" x14ac:dyDescent="0.2">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14.25" x14ac:dyDescent="0.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14.25" x14ac:dyDescent="0.2">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14.25" x14ac:dyDescent="0.2">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14.25" x14ac:dyDescent="0.2">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14.25" x14ac:dyDescent="0.2">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14.25" x14ac:dyDescent="0.2">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14.25" x14ac:dyDescent="0.2">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14.25" x14ac:dyDescent="0.2">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14.25" x14ac:dyDescent="0.2">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14.25" x14ac:dyDescent="0.2">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14.25" x14ac:dyDescent="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14.25" x14ac:dyDescent="0.2">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14.25" x14ac:dyDescent="0.2">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14.25" x14ac:dyDescent="0.2">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14.25" x14ac:dyDescent="0.2">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14.25" x14ac:dyDescent="0.2">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14.25" x14ac:dyDescent="0.2">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14.25" x14ac:dyDescent="0.2">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14.25" x14ac:dyDescent="0.2">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14.25" x14ac:dyDescent="0.2">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14.25" x14ac:dyDescent="0.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14.25" x14ac:dyDescent="0.2">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14.25" x14ac:dyDescent="0.2">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14.25" x14ac:dyDescent="0.2">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14.25" x14ac:dyDescent="0.2">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14.25" x14ac:dyDescent="0.2">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14.25" x14ac:dyDescent="0.2">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14.25" x14ac:dyDescent="0.2">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14.25" x14ac:dyDescent="0.2">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14.25" x14ac:dyDescent="0.2">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14.25" x14ac:dyDescent="0.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14.25" x14ac:dyDescent="0.2">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14.25" x14ac:dyDescent="0.2">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14.25" x14ac:dyDescent="0.2">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14.25" x14ac:dyDescent="0.2">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14.25" x14ac:dyDescent="0.2">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14.25" x14ac:dyDescent="0.2">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14.25" x14ac:dyDescent="0.2">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14.25" x14ac:dyDescent="0.2">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14.25" x14ac:dyDescent="0.2">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14.25" x14ac:dyDescent="0.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14.25" x14ac:dyDescent="0.2">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14.25" x14ac:dyDescent="0.2">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14.25" x14ac:dyDescent="0.2">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14.25" x14ac:dyDescent="0.2">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14.25" x14ac:dyDescent="0.2">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14.25" x14ac:dyDescent="0.2">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14.25" x14ac:dyDescent="0.2">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14.25" x14ac:dyDescent="0.2">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14.25" x14ac:dyDescent="0.2">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14.25" x14ac:dyDescent="0.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14.25" x14ac:dyDescent="0.2">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14.25" x14ac:dyDescent="0.2">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14.25" x14ac:dyDescent="0.2">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14.25" x14ac:dyDescent="0.2">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14.25" x14ac:dyDescent="0.2">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14.25" x14ac:dyDescent="0.2">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14.25" x14ac:dyDescent="0.2">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14.25" x14ac:dyDescent="0.2">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14.25" x14ac:dyDescent="0.2">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14.25" x14ac:dyDescent="0.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14.25" x14ac:dyDescent="0.2">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14.25" x14ac:dyDescent="0.2">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14.25" x14ac:dyDescent="0.2">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14.25" x14ac:dyDescent="0.2">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14.25" x14ac:dyDescent="0.2">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14.25" x14ac:dyDescent="0.2">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14.25" x14ac:dyDescent="0.2">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14.25" x14ac:dyDescent="0.2">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14.25" x14ac:dyDescent="0.2">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14.25" x14ac:dyDescent="0.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14.25" x14ac:dyDescent="0.2">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14.25" x14ac:dyDescent="0.2">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14.25" x14ac:dyDescent="0.2">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14.25" x14ac:dyDescent="0.2">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14.25" x14ac:dyDescent="0.2">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14.25" x14ac:dyDescent="0.2">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14.25" x14ac:dyDescent="0.2">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14.25" x14ac:dyDescent="0.2">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14.25" x14ac:dyDescent="0.2">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14.25" x14ac:dyDescent="0.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14.25" x14ac:dyDescent="0.2">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14.25" x14ac:dyDescent="0.2">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14.25" x14ac:dyDescent="0.2">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14.25" x14ac:dyDescent="0.2">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14.25" x14ac:dyDescent="0.2">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14.25" x14ac:dyDescent="0.2">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14.25" x14ac:dyDescent="0.2">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14.25" x14ac:dyDescent="0.2">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14.25" x14ac:dyDescent="0.2">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14.25" x14ac:dyDescent="0.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14.25" x14ac:dyDescent="0.2">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14.25" x14ac:dyDescent="0.2">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14.25" x14ac:dyDescent="0.2">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14.25" x14ac:dyDescent="0.2">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14.25" x14ac:dyDescent="0.2">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14.25" x14ac:dyDescent="0.2">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14.25" x14ac:dyDescent="0.2">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14.25" x14ac:dyDescent="0.2">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14.25" x14ac:dyDescent="0.2">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14.25" x14ac:dyDescent="0.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14.25" x14ac:dyDescent="0.2">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14.25" x14ac:dyDescent="0.2">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14.25" x14ac:dyDescent="0.2">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14.25" x14ac:dyDescent="0.2">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14.25" x14ac:dyDescent="0.2">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14.25" x14ac:dyDescent="0.2">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14.25" x14ac:dyDescent="0.2">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14.25" x14ac:dyDescent="0.2">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14.25" x14ac:dyDescent="0.2">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14.25" x14ac:dyDescent="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14.25" x14ac:dyDescent="0.2">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14.25" x14ac:dyDescent="0.2">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14.25" x14ac:dyDescent="0.2">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14.25" x14ac:dyDescent="0.2">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14.25" x14ac:dyDescent="0.2">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14.25" x14ac:dyDescent="0.2">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14.25" x14ac:dyDescent="0.2">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14.25" x14ac:dyDescent="0.2">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14.25" x14ac:dyDescent="0.2">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14.25" x14ac:dyDescent="0.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14.25" x14ac:dyDescent="0.2">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14.25" x14ac:dyDescent="0.2">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14.25" x14ac:dyDescent="0.2">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14.25" x14ac:dyDescent="0.2">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14.25" x14ac:dyDescent="0.2">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14.25" x14ac:dyDescent="0.2">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14.25" x14ac:dyDescent="0.2">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14.25" x14ac:dyDescent="0.2">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14.25" x14ac:dyDescent="0.2">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14.25" x14ac:dyDescent="0.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14.25" x14ac:dyDescent="0.2">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14.25" x14ac:dyDescent="0.2">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14.25" x14ac:dyDescent="0.2">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14.25" x14ac:dyDescent="0.2">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14.25" x14ac:dyDescent="0.2">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14.25" x14ac:dyDescent="0.2">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14.25" x14ac:dyDescent="0.2">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14.25" x14ac:dyDescent="0.2">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14.25" x14ac:dyDescent="0.2">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14.25" x14ac:dyDescent="0.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14.25" x14ac:dyDescent="0.2">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14.25" x14ac:dyDescent="0.2">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14.25" x14ac:dyDescent="0.2">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14.25" x14ac:dyDescent="0.2">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14.25" x14ac:dyDescent="0.2">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14.25" x14ac:dyDescent="0.2">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14.25" x14ac:dyDescent="0.2">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14.25" x14ac:dyDescent="0.2">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14.25" x14ac:dyDescent="0.2">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14.25" x14ac:dyDescent="0.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14.25" x14ac:dyDescent="0.2">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14.25" x14ac:dyDescent="0.2">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14.25" x14ac:dyDescent="0.2">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14.25" x14ac:dyDescent="0.2">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14.25" x14ac:dyDescent="0.2">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14.25" x14ac:dyDescent="0.2">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14.25" x14ac:dyDescent="0.2">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14.25" x14ac:dyDescent="0.2">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14.25" x14ac:dyDescent="0.2">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14.25" x14ac:dyDescent="0.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14.25" x14ac:dyDescent="0.2">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14.25" x14ac:dyDescent="0.2">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14.25" x14ac:dyDescent="0.2">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14.25" x14ac:dyDescent="0.2">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14.25" x14ac:dyDescent="0.2">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14.25" x14ac:dyDescent="0.2">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14.25" x14ac:dyDescent="0.2">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14.25" x14ac:dyDescent="0.2">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14.25" x14ac:dyDescent="0.2">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14.25" x14ac:dyDescent="0.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14.25" x14ac:dyDescent="0.2">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14.25" x14ac:dyDescent="0.2">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14.25" x14ac:dyDescent="0.2">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14.25" x14ac:dyDescent="0.2">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14.25" x14ac:dyDescent="0.2">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14.25" x14ac:dyDescent="0.2">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14.25" x14ac:dyDescent="0.2">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14.25" x14ac:dyDescent="0.2">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14.25" x14ac:dyDescent="0.2">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14.25" x14ac:dyDescent="0.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14.25" x14ac:dyDescent="0.2">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14.25" x14ac:dyDescent="0.2">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14.25" x14ac:dyDescent="0.2">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14.25" x14ac:dyDescent="0.2">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14.25" x14ac:dyDescent="0.2">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14.25" x14ac:dyDescent="0.2">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14.25" x14ac:dyDescent="0.2">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14.25" x14ac:dyDescent="0.2">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14.25" x14ac:dyDescent="0.2">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14.25" x14ac:dyDescent="0.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14.25" x14ac:dyDescent="0.2">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14.25" x14ac:dyDescent="0.2">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14.25" x14ac:dyDescent="0.2">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14.25" x14ac:dyDescent="0.2">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14.25" x14ac:dyDescent="0.2">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14.25" x14ac:dyDescent="0.2">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14.25" x14ac:dyDescent="0.2">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14.25" x14ac:dyDescent="0.2">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14.25" x14ac:dyDescent="0.2">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14.25" x14ac:dyDescent="0.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14.25" x14ac:dyDescent="0.2">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14.25" x14ac:dyDescent="0.2">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14.25" x14ac:dyDescent="0.2">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14.25" x14ac:dyDescent="0.2">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14.25" x14ac:dyDescent="0.2">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14.25" x14ac:dyDescent="0.2">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14.25" x14ac:dyDescent="0.2">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14.25" x14ac:dyDescent="0.2">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14.25" x14ac:dyDescent="0.2">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14.25" x14ac:dyDescent="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14.25" x14ac:dyDescent="0.2">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14.25" x14ac:dyDescent="0.2">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14.25" x14ac:dyDescent="0.2">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14.25" x14ac:dyDescent="0.2">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14.25" x14ac:dyDescent="0.2">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14.25" x14ac:dyDescent="0.2">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14.25" x14ac:dyDescent="0.2">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14.25" x14ac:dyDescent="0.2">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14.25" x14ac:dyDescent="0.2">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14.25" x14ac:dyDescent="0.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14.25" x14ac:dyDescent="0.2">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14.25" x14ac:dyDescent="0.2">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14.25" x14ac:dyDescent="0.2">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14.25" x14ac:dyDescent="0.2">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14.25" x14ac:dyDescent="0.2">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14.25" x14ac:dyDescent="0.2">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14.25" x14ac:dyDescent="0.2">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14.25" x14ac:dyDescent="0.2">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14.25" x14ac:dyDescent="0.2">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14.25" x14ac:dyDescent="0.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14.25" x14ac:dyDescent="0.2">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14.25" x14ac:dyDescent="0.2">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14.25" x14ac:dyDescent="0.2">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14.25" x14ac:dyDescent="0.2">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14.25" x14ac:dyDescent="0.2">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14.25" x14ac:dyDescent="0.2">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14.25" x14ac:dyDescent="0.2">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14.25" x14ac:dyDescent="0.2">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14.25" x14ac:dyDescent="0.2">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14.25" x14ac:dyDescent="0.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14.25" x14ac:dyDescent="0.2">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14.25" x14ac:dyDescent="0.2">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14.25" x14ac:dyDescent="0.2">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14.25" x14ac:dyDescent="0.2">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14.25" x14ac:dyDescent="0.2">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14.25" x14ac:dyDescent="0.2">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14.25" x14ac:dyDescent="0.2">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14.25" x14ac:dyDescent="0.2">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14.25" x14ac:dyDescent="0.2">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14.25" x14ac:dyDescent="0.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14.25" x14ac:dyDescent="0.2">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14.25" x14ac:dyDescent="0.2">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14.25" x14ac:dyDescent="0.2">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14.25" x14ac:dyDescent="0.2">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14.25" x14ac:dyDescent="0.2">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14.25" x14ac:dyDescent="0.2">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14.25" x14ac:dyDescent="0.2">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14.25" x14ac:dyDescent="0.2">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14.25" x14ac:dyDescent="0.2">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14.25" x14ac:dyDescent="0.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14.25" x14ac:dyDescent="0.2">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14.25" x14ac:dyDescent="0.2">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14.25" x14ac:dyDescent="0.2">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14.25" x14ac:dyDescent="0.2">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14.25" x14ac:dyDescent="0.2">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14.25" x14ac:dyDescent="0.2">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14.25" x14ac:dyDescent="0.2">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14.25" x14ac:dyDescent="0.2">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14.25" x14ac:dyDescent="0.2">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14.25" x14ac:dyDescent="0.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14.25" x14ac:dyDescent="0.2">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14.25" x14ac:dyDescent="0.2">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14.25" x14ac:dyDescent="0.2">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14.25" x14ac:dyDescent="0.2">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14.25" x14ac:dyDescent="0.2">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14.25" x14ac:dyDescent="0.2">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14.25" x14ac:dyDescent="0.2">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14.25" x14ac:dyDescent="0.2">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14.25" x14ac:dyDescent="0.2">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14.25" x14ac:dyDescent="0.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14.25" x14ac:dyDescent="0.2">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14.25" x14ac:dyDescent="0.2">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14.25" x14ac:dyDescent="0.2">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14.25" x14ac:dyDescent="0.2">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14.25" x14ac:dyDescent="0.2">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14.25" x14ac:dyDescent="0.2">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14.25" x14ac:dyDescent="0.2">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14.25" x14ac:dyDescent="0.2">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14.25" x14ac:dyDescent="0.2">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14.25" x14ac:dyDescent="0.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14.25" x14ac:dyDescent="0.2">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14.25" x14ac:dyDescent="0.2">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14.25" x14ac:dyDescent="0.2">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14.25" x14ac:dyDescent="0.2">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14.25" x14ac:dyDescent="0.2">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14.25" x14ac:dyDescent="0.2">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14.25" x14ac:dyDescent="0.2">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14.25" x14ac:dyDescent="0.2">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14.25" x14ac:dyDescent="0.2">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14.25" x14ac:dyDescent="0.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14.25" x14ac:dyDescent="0.2">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14.25" x14ac:dyDescent="0.2">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14.25" x14ac:dyDescent="0.2">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14.25" x14ac:dyDescent="0.2">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14.25" x14ac:dyDescent="0.2">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14.25" x14ac:dyDescent="0.2">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14.25" x14ac:dyDescent="0.2">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14.25" x14ac:dyDescent="0.2">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14.25" x14ac:dyDescent="0.2">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14.25" x14ac:dyDescent="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14.25" x14ac:dyDescent="0.2">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14.25" x14ac:dyDescent="0.2">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14.25" x14ac:dyDescent="0.2">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14.25" x14ac:dyDescent="0.2">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14.25" x14ac:dyDescent="0.2">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14.25" x14ac:dyDescent="0.2">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14.25" x14ac:dyDescent="0.2">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14.25" x14ac:dyDescent="0.2">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14.25" x14ac:dyDescent="0.2">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14.25" x14ac:dyDescent="0.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14.25" x14ac:dyDescent="0.2">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14.25" x14ac:dyDescent="0.2">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14.25" x14ac:dyDescent="0.2">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14.25" x14ac:dyDescent="0.2">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14.25" x14ac:dyDescent="0.2">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14.25" x14ac:dyDescent="0.2">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14.25" x14ac:dyDescent="0.2">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14.25" x14ac:dyDescent="0.2">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14.25" x14ac:dyDescent="0.2">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14.25" x14ac:dyDescent="0.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14.25" x14ac:dyDescent="0.2">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14.25" x14ac:dyDescent="0.2">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14.25" x14ac:dyDescent="0.2">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14.25" x14ac:dyDescent="0.2">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14.25" x14ac:dyDescent="0.2">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14.25" x14ac:dyDescent="0.2">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14.25" x14ac:dyDescent="0.2">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14.25" x14ac:dyDescent="0.2">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14.25" x14ac:dyDescent="0.2">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14.25" x14ac:dyDescent="0.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14.25" x14ac:dyDescent="0.2">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14.25" x14ac:dyDescent="0.2">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14.25" x14ac:dyDescent="0.2">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14.25" x14ac:dyDescent="0.2">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14.25" x14ac:dyDescent="0.2">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14.25" x14ac:dyDescent="0.2">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14.25" x14ac:dyDescent="0.2">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14.25" x14ac:dyDescent="0.2">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14.25" x14ac:dyDescent="0.2">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14.25" x14ac:dyDescent="0.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14.25" x14ac:dyDescent="0.2">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14.25" x14ac:dyDescent="0.2">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14.25" x14ac:dyDescent="0.2">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14.25" x14ac:dyDescent="0.2">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14.25" x14ac:dyDescent="0.2">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14.25" x14ac:dyDescent="0.2">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14.25" x14ac:dyDescent="0.2">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14.25" x14ac:dyDescent="0.2">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14.25" x14ac:dyDescent="0.2">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14.25" x14ac:dyDescent="0.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14.25" x14ac:dyDescent="0.2">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14.25" x14ac:dyDescent="0.2">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14.25" x14ac:dyDescent="0.2">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14.25" x14ac:dyDescent="0.2">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14.25" x14ac:dyDescent="0.2">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14.25" x14ac:dyDescent="0.2">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14.25" x14ac:dyDescent="0.2">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14.25" x14ac:dyDescent="0.2">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14.25" x14ac:dyDescent="0.2">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14.25" x14ac:dyDescent="0.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14.25" x14ac:dyDescent="0.2">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14.25" x14ac:dyDescent="0.2">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14.25" x14ac:dyDescent="0.2">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14.25" x14ac:dyDescent="0.2">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14.25" x14ac:dyDescent="0.2">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14.25" x14ac:dyDescent="0.2">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14.25" x14ac:dyDescent="0.2">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14.25" x14ac:dyDescent="0.2">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14.25" x14ac:dyDescent="0.2">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14.25" x14ac:dyDescent="0.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14.25" x14ac:dyDescent="0.2">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14.25" x14ac:dyDescent="0.2">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14.25" x14ac:dyDescent="0.2">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14.25" x14ac:dyDescent="0.2">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14.25" x14ac:dyDescent="0.2">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14.25" x14ac:dyDescent="0.2">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14.25" x14ac:dyDescent="0.2">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14.25" x14ac:dyDescent="0.2">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14.25" x14ac:dyDescent="0.2">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14.25" x14ac:dyDescent="0.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14.25" x14ac:dyDescent="0.2">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14.25" x14ac:dyDescent="0.2">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14.25" x14ac:dyDescent="0.2">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14.25" x14ac:dyDescent="0.2">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14.25" x14ac:dyDescent="0.2">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14.25" x14ac:dyDescent="0.2">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14.25" x14ac:dyDescent="0.2">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14.25" x14ac:dyDescent="0.2">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14.25" x14ac:dyDescent="0.2">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14.25" x14ac:dyDescent="0.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14.25" x14ac:dyDescent="0.2">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14.25" x14ac:dyDescent="0.2">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14.25" x14ac:dyDescent="0.2">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14.25" x14ac:dyDescent="0.2">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14.25" x14ac:dyDescent="0.2">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14.25" x14ac:dyDescent="0.2">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14.25" x14ac:dyDescent="0.2">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14.25" x14ac:dyDescent="0.2">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14.25" x14ac:dyDescent="0.2">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14.25" x14ac:dyDescent="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14.25" x14ac:dyDescent="0.2">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14.25" x14ac:dyDescent="0.2">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14.25" x14ac:dyDescent="0.2">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14.25" x14ac:dyDescent="0.2">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14.25" x14ac:dyDescent="0.2">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14.25" x14ac:dyDescent="0.2">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14.25" x14ac:dyDescent="0.2">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14.25" x14ac:dyDescent="0.2">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14.25" x14ac:dyDescent="0.2">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14.25" x14ac:dyDescent="0.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14.25" x14ac:dyDescent="0.2">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14.25" x14ac:dyDescent="0.2">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14.25" x14ac:dyDescent="0.2">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14.25" x14ac:dyDescent="0.2">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14.25" x14ac:dyDescent="0.2">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14.25" x14ac:dyDescent="0.2">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14.25" x14ac:dyDescent="0.2">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14.25" x14ac:dyDescent="0.2">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14.25" x14ac:dyDescent="0.2">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14.25" x14ac:dyDescent="0.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14.25" x14ac:dyDescent="0.2">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14.25" x14ac:dyDescent="0.2">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14.25" x14ac:dyDescent="0.2">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14.25" x14ac:dyDescent="0.2">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14.25" x14ac:dyDescent="0.2">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14.25" x14ac:dyDescent="0.2">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14.25" x14ac:dyDescent="0.2">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14.25" x14ac:dyDescent="0.2">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14.25" x14ac:dyDescent="0.2">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14.25" x14ac:dyDescent="0.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14.25" x14ac:dyDescent="0.2">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14.25" x14ac:dyDescent="0.2">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14.25" x14ac:dyDescent="0.2">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14.25" x14ac:dyDescent="0.2">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14.25" x14ac:dyDescent="0.2">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14.25" x14ac:dyDescent="0.2">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14.25" x14ac:dyDescent="0.2">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14.25" x14ac:dyDescent="0.2">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14.25" x14ac:dyDescent="0.2">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14.25" x14ac:dyDescent="0.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14.25" x14ac:dyDescent="0.2">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14.25" x14ac:dyDescent="0.2">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14.25" x14ac:dyDescent="0.2">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14.25" x14ac:dyDescent="0.2">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14.25" x14ac:dyDescent="0.2">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14.25" x14ac:dyDescent="0.2">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14.25" x14ac:dyDescent="0.2">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14.25" x14ac:dyDescent="0.2">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14.25" x14ac:dyDescent="0.2">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14.25" x14ac:dyDescent="0.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14.25" x14ac:dyDescent="0.2">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14.25" x14ac:dyDescent="0.2">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14.25" x14ac:dyDescent="0.2">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14.25" x14ac:dyDescent="0.2">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14.25" x14ac:dyDescent="0.2">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14.25" x14ac:dyDescent="0.2">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14.25" x14ac:dyDescent="0.2">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14.25" x14ac:dyDescent="0.2">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14.25" x14ac:dyDescent="0.2">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14.25" x14ac:dyDescent="0.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14.25" x14ac:dyDescent="0.2">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14.25" x14ac:dyDescent="0.2">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14.25" x14ac:dyDescent="0.2">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14.25" x14ac:dyDescent="0.2">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14.25" x14ac:dyDescent="0.2">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14.25" x14ac:dyDescent="0.2">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14.25" x14ac:dyDescent="0.2">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14.25" x14ac:dyDescent="0.2">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14.25" x14ac:dyDescent="0.2">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14.25" x14ac:dyDescent="0.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14.25" x14ac:dyDescent="0.2">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14.25" x14ac:dyDescent="0.2">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14.25" x14ac:dyDescent="0.2">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14.25" x14ac:dyDescent="0.2">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14.25" x14ac:dyDescent="0.2">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14.25" x14ac:dyDescent="0.2">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14.25" x14ac:dyDescent="0.2">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14.25" x14ac:dyDescent="0.2">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14.25" x14ac:dyDescent="0.2">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14.25" x14ac:dyDescent="0.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14.25" x14ac:dyDescent="0.2">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14.25" x14ac:dyDescent="0.2">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14.25" x14ac:dyDescent="0.2">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14.25" x14ac:dyDescent="0.2">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14.25" x14ac:dyDescent="0.2">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14.25" x14ac:dyDescent="0.2">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14.25" x14ac:dyDescent="0.2">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14.25" x14ac:dyDescent="0.2">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14.25" x14ac:dyDescent="0.2">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14.25" x14ac:dyDescent="0.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14.25" x14ac:dyDescent="0.2">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14.25" x14ac:dyDescent="0.2">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14.25" x14ac:dyDescent="0.2">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14.25" x14ac:dyDescent="0.2">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14.25" x14ac:dyDescent="0.2">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14.25" x14ac:dyDescent="0.2">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14.25" x14ac:dyDescent="0.2">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14.25" x14ac:dyDescent="0.2">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14.25" x14ac:dyDescent="0.2">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14.25" x14ac:dyDescent="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14.25" x14ac:dyDescent="0.2">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14.25" x14ac:dyDescent="0.2">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14.25" x14ac:dyDescent="0.2">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14.25" x14ac:dyDescent="0.2">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14.25" x14ac:dyDescent="0.2">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14.25" x14ac:dyDescent="0.2">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14.25" x14ac:dyDescent="0.2">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14.25" x14ac:dyDescent="0.2">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14.25" x14ac:dyDescent="0.2">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14.25" x14ac:dyDescent="0.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14.25" x14ac:dyDescent="0.2">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14.25" x14ac:dyDescent="0.2">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14.25" x14ac:dyDescent="0.2">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14.25" x14ac:dyDescent="0.2">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14.25" x14ac:dyDescent="0.2">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14.25" x14ac:dyDescent="0.2">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14.25" x14ac:dyDescent="0.2">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14.25" x14ac:dyDescent="0.2">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14.25" x14ac:dyDescent="0.2">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14.25" x14ac:dyDescent="0.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14.25" x14ac:dyDescent="0.2">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14.25" x14ac:dyDescent="0.2">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14.25" x14ac:dyDescent="0.2">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14.25" x14ac:dyDescent="0.2">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14.25" x14ac:dyDescent="0.2">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14.25" x14ac:dyDescent="0.2">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14.25" x14ac:dyDescent="0.2">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14.25" x14ac:dyDescent="0.2">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14.25" x14ac:dyDescent="0.2">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14.25" x14ac:dyDescent="0.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14.25" x14ac:dyDescent="0.2">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14.25" x14ac:dyDescent="0.2">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14.25" x14ac:dyDescent="0.2">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14.25" x14ac:dyDescent="0.2">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14.25" x14ac:dyDescent="0.2">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14.25" x14ac:dyDescent="0.2">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14.25" x14ac:dyDescent="0.2">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14.25" x14ac:dyDescent="0.2">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14.25" x14ac:dyDescent="0.2">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14.25" x14ac:dyDescent="0.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14.25" x14ac:dyDescent="0.2">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14.25" x14ac:dyDescent="0.2">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14.25" x14ac:dyDescent="0.2">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14.25" x14ac:dyDescent="0.2">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14.25" x14ac:dyDescent="0.2">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14.25" x14ac:dyDescent="0.2">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14.25" x14ac:dyDescent="0.2">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14.25" x14ac:dyDescent="0.2">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14.25" x14ac:dyDescent="0.2">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14.25" x14ac:dyDescent="0.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14.25" x14ac:dyDescent="0.2">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14.25" x14ac:dyDescent="0.2">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14.25" x14ac:dyDescent="0.2">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14.25" x14ac:dyDescent="0.2">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14.25" x14ac:dyDescent="0.2">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14.25" x14ac:dyDescent="0.2">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14.25" x14ac:dyDescent="0.2">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14.25" x14ac:dyDescent="0.2">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14.25" x14ac:dyDescent="0.2">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14.25" x14ac:dyDescent="0.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14.25" x14ac:dyDescent="0.2">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14.25" x14ac:dyDescent="0.2">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14.25" x14ac:dyDescent="0.2">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14.25" x14ac:dyDescent="0.2">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14.25" x14ac:dyDescent="0.2">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14.25" x14ac:dyDescent="0.2">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14.25" x14ac:dyDescent="0.2">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14.25" x14ac:dyDescent="0.2">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14.25" x14ac:dyDescent="0.2">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14.25" x14ac:dyDescent="0.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14.25" x14ac:dyDescent="0.2">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14.25" x14ac:dyDescent="0.2">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14.25" x14ac:dyDescent="0.2">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14.25" x14ac:dyDescent="0.2">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14.25" x14ac:dyDescent="0.2">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14.25" x14ac:dyDescent="0.2">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14.25" x14ac:dyDescent="0.2">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14.25" x14ac:dyDescent="0.2">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14.25" x14ac:dyDescent="0.2">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14.25" x14ac:dyDescent="0.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14.25" x14ac:dyDescent="0.2">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14.25" x14ac:dyDescent="0.2">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14.25" x14ac:dyDescent="0.2">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14.25" x14ac:dyDescent="0.2">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14.25" x14ac:dyDescent="0.2">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14.25" x14ac:dyDescent="0.2">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14.25" x14ac:dyDescent="0.2">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14.25" x14ac:dyDescent="0.2">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14.25" x14ac:dyDescent="0.2">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14.25" x14ac:dyDescent="0.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14.25" x14ac:dyDescent="0.2">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14.25" x14ac:dyDescent="0.2">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14.25" x14ac:dyDescent="0.2">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14.25" x14ac:dyDescent="0.2">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14.25" x14ac:dyDescent="0.2">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14.25" x14ac:dyDescent="0.2">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14.25" x14ac:dyDescent="0.2">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14.25" x14ac:dyDescent="0.2">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14.25" x14ac:dyDescent="0.2">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14.25" x14ac:dyDescent="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14.25" x14ac:dyDescent="0.2">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14.25" x14ac:dyDescent="0.2">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14.25" x14ac:dyDescent="0.2">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14.25" x14ac:dyDescent="0.2">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14.25" x14ac:dyDescent="0.2">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14.25" x14ac:dyDescent="0.2">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14.25" x14ac:dyDescent="0.2">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14.25" x14ac:dyDescent="0.2">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14.25" x14ac:dyDescent="0.2">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14.25" x14ac:dyDescent="0.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14.25" x14ac:dyDescent="0.2">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14.25" x14ac:dyDescent="0.2">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14.25" x14ac:dyDescent="0.2">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14.25" x14ac:dyDescent="0.2">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14.25" x14ac:dyDescent="0.2">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14.25" x14ac:dyDescent="0.2">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14.25" x14ac:dyDescent="0.2">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14.25" x14ac:dyDescent="0.2">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14.25" x14ac:dyDescent="0.2">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14.25" x14ac:dyDescent="0.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14.25" x14ac:dyDescent="0.2">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14.25" x14ac:dyDescent="0.2">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14.25" x14ac:dyDescent="0.2">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14.25" x14ac:dyDescent="0.2">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14.25" x14ac:dyDescent="0.2">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14.25" x14ac:dyDescent="0.2">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14.25" x14ac:dyDescent="0.2">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14.25" x14ac:dyDescent="0.2">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14.25" x14ac:dyDescent="0.2">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14.25" x14ac:dyDescent="0.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14.25" x14ac:dyDescent="0.2">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14.25" x14ac:dyDescent="0.2">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14.25" x14ac:dyDescent="0.2">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14.25" x14ac:dyDescent="0.2">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14.25" x14ac:dyDescent="0.2">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14.25" x14ac:dyDescent="0.2">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14.25" x14ac:dyDescent="0.2">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14.25" x14ac:dyDescent="0.2">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14.25" x14ac:dyDescent="0.2">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14.25" x14ac:dyDescent="0.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14.25" x14ac:dyDescent="0.2">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14.25" x14ac:dyDescent="0.2">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14.25" x14ac:dyDescent="0.2">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14.25" x14ac:dyDescent="0.2">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14.25" x14ac:dyDescent="0.2">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14.25" x14ac:dyDescent="0.2">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14.25" x14ac:dyDescent="0.2">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14.25" x14ac:dyDescent="0.2">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14.25" x14ac:dyDescent="0.2">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14.25" x14ac:dyDescent="0.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14.25" x14ac:dyDescent="0.2">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14.25" x14ac:dyDescent="0.2">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14.25" x14ac:dyDescent="0.2">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14.25" x14ac:dyDescent="0.2">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14.25" x14ac:dyDescent="0.2">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14.25" x14ac:dyDescent="0.2">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14.25" x14ac:dyDescent="0.2">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14.25" x14ac:dyDescent="0.2">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14.25" x14ac:dyDescent="0.2">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14.25" x14ac:dyDescent="0.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14.25" x14ac:dyDescent="0.2">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14.25" x14ac:dyDescent="0.2">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14.25" x14ac:dyDescent="0.2">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14.25" x14ac:dyDescent="0.2">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14.25" x14ac:dyDescent="0.2">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14.25" x14ac:dyDescent="0.2">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14.25" x14ac:dyDescent="0.2">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14.25" x14ac:dyDescent="0.2">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14.25" x14ac:dyDescent="0.2">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14.25" x14ac:dyDescent="0.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14.25" x14ac:dyDescent="0.2">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14.25" x14ac:dyDescent="0.2">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14.25" x14ac:dyDescent="0.2">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14.25" x14ac:dyDescent="0.2">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14.25" x14ac:dyDescent="0.2">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14.25" x14ac:dyDescent="0.2">
      <c r="A978" s="49"/>
      <c r="B978" s="49"/>
      <c r="C978" s="49"/>
      <c r="D978" s="49"/>
      <c r="E978" s="49"/>
      <c r="F978" s="49"/>
      <c r="G978" s="49"/>
      <c r="H978" s="49"/>
      <c r="I978" s="49"/>
    </row>
    <row r="979" spans="1:26" ht="14.25" x14ac:dyDescent="0.2">
      <c r="A979" s="49"/>
      <c r="B979" s="49"/>
      <c r="C979" s="49"/>
      <c r="D979" s="49"/>
      <c r="E979" s="49"/>
      <c r="F979" s="49"/>
      <c r="G979" s="49"/>
      <c r="H979" s="49"/>
      <c r="I979" s="49"/>
    </row>
    <row r="980" spans="1:26" ht="14.25" x14ac:dyDescent="0.2">
      <c r="A980" s="49"/>
      <c r="B980" s="49"/>
      <c r="C980" s="49"/>
      <c r="D980" s="49"/>
      <c r="E980" s="49"/>
      <c r="F980" s="49"/>
      <c r="G980" s="49"/>
      <c r="H980" s="49"/>
      <c r="I980" s="49"/>
    </row>
    <row r="981" spans="1:26" ht="14.25" x14ac:dyDescent="0.2">
      <c r="A981" s="49"/>
      <c r="B981" s="49"/>
      <c r="C981" s="49"/>
      <c r="D981" s="49"/>
      <c r="E981" s="49"/>
      <c r="F981" s="49"/>
      <c r="G981" s="49"/>
      <c r="H981" s="49"/>
      <c r="I981" s="49"/>
    </row>
    <row r="982" spans="1:26" ht="14.25" x14ac:dyDescent="0.2">
      <c r="A982" s="49"/>
      <c r="B982" s="49"/>
      <c r="C982" s="49"/>
      <c r="D982" s="49"/>
      <c r="E982" s="49"/>
      <c r="F982" s="49"/>
      <c r="G982" s="49"/>
      <c r="H982" s="49"/>
      <c r="I982" s="49"/>
    </row>
    <row r="983" spans="1:26" ht="14.25" x14ac:dyDescent="0.2">
      <c r="A983" s="49"/>
      <c r="B983" s="49"/>
      <c r="C983" s="49"/>
      <c r="D983" s="49"/>
      <c r="E983" s="49"/>
      <c r="F983" s="49"/>
      <c r="G983" s="49"/>
      <c r="H983" s="49"/>
      <c r="I983" s="49"/>
    </row>
    <row r="984" spans="1:26" ht="14.25" x14ac:dyDescent="0.2">
      <c r="A984" s="49"/>
      <c r="B984" s="49"/>
      <c r="C984" s="49"/>
      <c r="D984" s="49"/>
      <c r="E984" s="49"/>
      <c r="F984" s="49"/>
      <c r="G984" s="49"/>
      <c r="H984" s="49"/>
      <c r="I984" s="49"/>
    </row>
    <row r="985" spans="1:26" ht="14.25" x14ac:dyDescent="0.2">
      <c r="A985" s="49"/>
      <c r="B985" s="49"/>
      <c r="C985" s="49"/>
      <c r="D985" s="49"/>
      <c r="E985" s="49"/>
      <c r="F985" s="49"/>
      <c r="G985" s="49"/>
      <c r="H985" s="49"/>
      <c r="I985" s="49"/>
    </row>
    <row r="986" spans="1:26" ht="14.25" x14ac:dyDescent="0.2">
      <c r="A986" s="49"/>
      <c r="B986" s="49"/>
      <c r="C986" s="49"/>
      <c r="D986" s="49"/>
      <c r="E986" s="49"/>
      <c r="F986" s="49"/>
      <c r="G986" s="49"/>
      <c r="H986" s="49"/>
      <c r="I986" s="49"/>
    </row>
    <row r="987" spans="1:26" ht="14.25" x14ac:dyDescent="0.2">
      <c r="A987" s="49"/>
      <c r="B987" s="49"/>
      <c r="C987" s="49"/>
      <c r="D987" s="49"/>
      <c r="E987" s="49"/>
      <c r="F987" s="49"/>
      <c r="G987" s="49"/>
      <c r="H987" s="49"/>
      <c r="I987" s="49"/>
    </row>
    <row r="988" spans="1:26" ht="14.25" x14ac:dyDescent="0.2">
      <c r="A988" s="49"/>
      <c r="B988" s="49"/>
      <c r="C988" s="49"/>
      <c r="D988" s="49"/>
      <c r="E988" s="49"/>
      <c r="F988" s="49"/>
      <c r="G988" s="49"/>
      <c r="H988" s="49"/>
      <c r="I988" s="49"/>
    </row>
    <row r="989" spans="1:26" ht="14.25" x14ac:dyDescent="0.2">
      <c r="A989" s="49"/>
      <c r="B989" s="49"/>
      <c r="C989" s="49"/>
      <c r="D989" s="49"/>
      <c r="E989" s="49"/>
      <c r="F989" s="49"/>
      <c r="G989" s="49"/>
      <c r="H989" s="49"/>
      <c r="I989" s="49"/>
    </row>
  </sheetData>
  <dataConsolidate/>
  <mergeCells count="3">
    <mergeCell ref="A9:H9"/>
    <mergeCell ref="A32:H32"/>
    <mergeCell ref="A43:H43"/>
  </mergeCells>
  <phoneticPr fontId="25" type="noConversion"/>
  <dataValidations count="2">
    <dataValidation type="list" allowBlank="1" showInputMessage="1" showErrorMessage="1" prompt=" - " sqref="F7 F66:F114" xr:uid="{0D2B2234-2C0F-4471-BE72-F6C847415A3B}">
      <formula1>#REF!</formula1>
    </dataValidation>
    <dataValidation type="list" allowBlank="1" showInputMessage="1" showErrorMessage="1" sqref="H44:H47 H33:H42 H10:H31" xr:uid="{EE2A9050-F549-4B11-B85F-6B8E03795602}">
      <formula1>"'Pass,'Fail,'Untest,'N/A"</formula1>
    </dataValidation>
  </dataValidations>
  <hyperlinks>
    <hyperlink ref="B2" location="null!A1" display="Back to TestReport" xr:uid="{53410D91-E889-4AD6-9AD2-562E9919035C}"/>
  </hyperlinks>
  <pageMargins left="0.7" right="0.7" top="0.75" bottom="0.75" header="0" footer="0"/>
  <pageSetup paperSize="9" scale="26" fitToWidth="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1007"/>
  <sheetViews>
    <sheetView topLeftCell="B7" zoomScale="115" zoomScaleNormal="115" workbookViewId="0">
      <selection activeCell="B10" sqref="B10:H25"/>
    </sheetView>
  </sheetViews>
  <sheetFormatPr defaultColWidth="12.625" defaultRowHeight="15" customHeight="1" x14ac:dyDescent="0.15"/>
  <cols>
    <col min="1" max="1" width="9" customWidth="1"/>
    <col min="2" max="2" width="13.5" customWidth="1"/>
    <col min="3" max="3" width="26.375" bestFit="1" customWidth="1"/>
    <col min="4" max="6" width="9" customWidth="1"/>
    <col min="7" max="7" width="11.125" customWidth="1"/>
    <col min="8" max="8" width="16.375" customWidth="1"/>
    <col min="9" max="10" width="33.125" customWidth="1"/>
    <col min="11" max="19" width="9" customWidth="1"/>
    <col min="20" max="27" width="8" customWidth="1"/>
  </cols>
  <sheetData>
    <row r="1" spans="1:27" ht="25.5" customHeight="1" x14ac:dyDescent="0.4">
      <c r="A1" s="8"/>
      <c r="B1" s="188" t="s">
        <v>38</v>
      </c>
      <c r="C1" s="189"/>
      <c r="D1" s="189"/>
      <c r="E1" s="189"/>
      <c r="F1" s="189"/>
      <c r="G1" s="189"/>
      <c r="H1" s="189"/>
      <c r="I1" s="189"/>
      <c r="J1" s="8"/>
      <c r="K1" s="8"/>
      <c r="L1" s="8"/>
      <c r="M1" s="8"/>
      <c r="N1" s="8"/>
      <c r="O1" s="8"/>
      <c r="P1" s="8"/>
      <c r="Q1" s="8"/>
      <c r="R1" s="8"/>
      <c r="S1" s="8"/>
      <c r="T1" s="8"/>
      <c r="U1" s="8"/>
      <c r="V1" s="8"/>
      <c r="W1" s="8"/>
      <c r="X1" s="8"/>
      <c r="Y1" s="8"/>
      <c r="Z1" s="8"/>
      <c r="AA1" s="8"/>
    </row>
    <row r="2" spans="1:27" ht="14.25" customHeight="1" x14ac:dyDescent="0.2">
      <c r="A2" s="65"/>
      <c r="B2" s="65"/>
      <c r="C2" s="8"/>
      <c r="D2" s="8"/>
      <c r="E2" s="8"/>
      <c r="F2" s="8"/>
      <c r="G2" s="8"/>
      <c r="H2" s="8"/>
      <c r="I2" s="66"/>
      <c r="J2" s="8"/>
      <c r="K2" s="8"/>
      <c r="L2" s="8"/>
      <c r="M2" s="8"/>
      <c r="N2" s="8"/>
      <c r="O2" s="8"/>
      <c r="P2" s="8"/>
      <c r="Q2" s="8"/>
      <c r="R2" s="8"/>
      <c r="S2" s="8"/>
      <c r="T2" s="8"/>
      <c r="U2" s="8"/>
      <c r="V2" s="8"/>
      <c r="W2" s="8"/>
      <c r="X2" s="8"/>
      <c r="Y2" s="8"/>
      <c r="Z2" s="8"/>
      <c r="AA2" s="8"/>
    </row>
    <row r="3" spans="1:27" ht="12" customHeight="1" x14ac:dyDescent="0.2">
      <c r="A3" s="8"/>
      <c r="B3" s="67" t="s">
        <v>1</v>
      </c>
      <c r="C3" s="169" t="str">
        <f>Cover!C4</f>
        <v>Website Quản lý đồ án tốt nghiệp</v>
      </c>
      <c r="D3" s="157"/>
      <c r="E3" s="186" t="s">
        <v>2</v>
      </c>
      <c r="F3" s="156"/>
      <c r="G3" s="157"/>
      <c r="H3" s="68" t="str">
        <f>Cover!G4</f>
        <v>ThanhVu</v>
      </c>
      <c r="I3" s="69"/>
      <c r="J3" s="8"/>
      <c r="K3" s="8"/>
      <c r="L3" s="8"/>
      <c r="M3" s="8"/>
      <c r="N3" s="8"/>
      <c r="O3" s="8"/>
      <c r="P3" s="8"/>
      <c r="Q3" s="8"/>
      <c r="R3" s="8"/>
      <c r="S3" s="8"/>
      <c r="T3" s="8"/>
      <c r="U3" s="8"/>
      <c r="V3" s="8"/>
      <c r="W3" s="8"/>
      <c r="X3" s="8"/>
      <c r="Y3" s="8"/>
      <c r="Z3" s="8"/>
      <c r="AA3" s="8"/>
    </row>
    <row r="4" spans="1:27" ht="12" customHeight="1" x14ac:dyDescent="0.2">
      <c r="A4" s="8"/>
      <c r="B4" s="67" t="s">
        <v>3</v>
      </c>
      <c r="C4" s="169" t="str">
        <f>Cover!C5</f>
        <v>DA3</v>
      </c>
      <c r="D4" s="157"/>
      <c r="E4" s="186" t="s">
        <v>4</v>
      </c>
      <c r="F4" s="156"/>
      <c r="G4" s="157"/>
      <c r="H4" s="68"/>
      <c r="I4" s="69"/>
      <c r="J4" s="8"/>
      <c r="K4" s="8"/>
      <c r="L4" s="8"/>
      <c r="M4" s="8"/>
      <c r="N4" s="8"/>
      <c r="O4" s="8"/>
      <c r="P4" s="8"/>
      <c r="Q4" s="8"/>
      <c r="R4" s="8"/>
      <c r="S4" s="8"/>
      <c r="T4" s="8"/>
      <c r="U4" s="8"/>
      <c r="V4" s="8"/>
      <c r="W4" s="8"/>
      <c r="X4" s="8"/>
      <c r="Y4" s="8"/>
      <c r="Z4" s="8"/>
      <c r="AA4" s="8"/>
    </row>
    <row r="5" spans="1:27" ht="12" customHeight="1" x14ac:dyDescent="0.2">
      <c r="A5" s="8"/>
      <c r="B5" s="70" t="s">
        <v>5</v>
      </c>
      <c r="C5" s="169" t="str">
        <f>C4&amp;"_"&amp;"Test Report"&amp;"_"&amp;"vx.x"</f>
        <v>DA3_Test Report_vx.x</v>
      </c>
      <c r="D5" s="157"/>
      <c r="E5" s="186" t="s">
        <v>6</v>
      </c>
      <c r="F5" s="156"/>
      <c r="G5" s="157"/>
      <c r="H5" s="68"/>
      <c r="I5" s="71" t="s">
        <v>39</v>
      </c>
      <c r="J5" s="8"/>
      <c r="K5" s="8"/>
      <c r="L5" s="8"/>
      <c r="M5" s="8"/>
      <c r="N5" s="8"/>
      <c r="O5" s="8"/>
      <c r="P5" s="8"/>
      <c r="Q5" s="8"/>
      <c r="R5" s="8"/>
      <c r="S5" s="8"/>
      <c r="T5" s="8"/>
      <c r="U5" s="8"/>
      <c r="V5" s="8"/>
      <c r="W5" s="8"/>
      <c r="X5" s="8"/>
      <c r="Y5" s="8"/>
      <c r="Z5" s="8"/>
      <c r="AA5" s="8"/>
    </row>
    <row r="6" spans="1:27" ht="21.75" customHeight="1" x14ac:dyDescent="0.2">
      <c r="A6" s="65"/>
      <c r="B6" s="70" t="s">
        <v>40</v>
      </c>
      <c r="C6" s="187" t="s">
        <v>41</v>
      </c>
      <c r="D6" s="156"/>
      <c r="E6" s="156"/>
      <c r="F6" s="156"/>
      <c r="G6" s="156"/>
      <c r="H6" s="156"/>
      <c r="I6" s="157"/>
      <c r="J6" s="8"/>
      <c r="K6" s="8"/>
      <c r="L6" s="8"/>
      <c r="M6" s="8"/>
      <c r="N6" s="8"/>
      <c r="O6" s="8"/>
      <c r="P6" s="8"/>
      <c r="Q6" s="8"/>
      <c r="R6" s="8"/>
      <c r="S6" s="8"/>
      <c r="T6" s="8"/>
      <c r="U6" s="8"/>
      <c r="V6" s="8"/>
      <c r="W6" s="8"/>
      <c r="X6" s="8"/>
      <c r="Y6" s="8"/>
      <c r="Z6" s="8"/>
      <c r="AA6" s="8"/>
    </row>
    <row r="7" spans="1:27" ht="14.25" customHeight="1" x14ac:dyDescent="0.2">
      <c r="A7" s="65"/>
      <c r="B7" s="10"/>
      <c r="C7" s="72"/>
      <c r="D7" s="8"/>
      <c r="E7" s="8"/>
      <c r="F7" s="8"/>
      <c r="G7" s="8"/>
      <c r="H7" s="8"/>
      <c r="I7" s="66"/>
      <c r="J7" s="8"/>
      <c r="K7" s="8"/>
      <c r="L7" s="8"/>
      <c r="M7" s="8"/>
      <c r="N7" s="8"/>
      <c r="O7" s="8"/>
      <c r="P7" s="8"/>
      <c r="Q7" s="8"/>
      <c r="R7" s="8"/>
      <c r="S7" s="8"/>
      <c r="T7" s="8"/>
      <c r="U7" s="8"/>
      <c r="V7" s="8"/>
      <c r="W7" s="8"/>
      <c r="X7" s="8"/>
      <c r="Y7" s="8"/>
      <c r="Z7" s="8"/>
      <c r="AA7" s="8"/>
    </row>
    <row r="8" spans="1:27" ht="12.75" customHeight="1" x14ac:dyDescent="0.2">
      <c r="A8" s="8"/>
      <c r="B8" s="10"/>
      <c r="C8" s="72"/>
      <c r="D8" s="8"/>
      <c r="E8" s="8"/>
      <c r="F8" s="8"/>
      <c r="G8" s="8"/>
      <c r="H8" s="8"/>
      <c r="I8" s="66"/>
      <c r="J8" s="8"/>
      <c r="K8" s="8"/>
      <c r="L8" s="8"/>
      <c r="M8" s="8"/>
      <c r="N8" s="8"/>
      <c r="O8" s="8"/>
      <c r="P8" s="8"/>
      <c r="Q8" s="8"/>
      <c r="R8" s="8"/>
      <c r="S8" s="8"/>
      <c r="T8" s="8"/>
      <c r="U8" s="8"/>
      <c r="V8" s="8"/>
      <c r="W8" s="8"/>
      <c r="X8" s="8"/>
      <c r="Y8" s="8"/>
      <c r="Z8" s="8"/>
      <c r="AA8" s="8"/>
    </row>
    <row r="9" spans="1:27" ht="12.75" customHeight="1" x14ac:dyDescent="0.2">
      <c r="A9" s="8"/>
      <c r="B9" s="8"/>
      <c r="C9" s="8"/>
      <c r="D9" s="8"/>
      <c r="E9" s="8"/>
      <c r="F9" s="8"/>
      <c r="G9" s="8"/>
      <c r="H9" s="8"/>
      <c r="I9" s="8"/>
      <c r="J9" s="8"/>
      <c r="K9" s="8"/>
      <c r="L9" s="8"/>
      <c r="M9" s="8"/>
      <c r="N9" s="8"/>
      <c r="O9" s="8"/>
      <c r="P9" s="8"/>
      <c r="Q9" s="8"/>
      <c r="R9" s="8"/>
      <c r="S9" s="8"/>
      <c r="T9" s="8"/>
      <c r="U9" s="8"/>
      <c r="V9" s="8"/>
      <c r="W9" s="8"/>
      <c r="X9" s="8"/>
      <c r="Y9" s="8"/>
      <c r="Z9" s="8"/>
      <c r="AA9" s="8"/>
    </row>
    <row r="10" spans="1:27" ht="25.5" customHeight="1" x14ac:dyDescent="0.2">
      <c r="A10" s="73"/>
      <c r="B10" s="135" t="s">
        <v>17</v>
      </c>
      <c r="C10" s="135" t="s">
        <v>42</v>
      </c>
      <c r="D10" s="136" t="s">
        <v>43</v>
      </c>
      <c r="E10" s="135" t="s">
        <v>44</v>
      </c>
      <c r="F10" s="135" t="s">
        <v>28</v>
      </c>
      <c r="G10" s="135" t="s">
        <v>45</v>
      </c>
      <c r="H10" s="136" t="s">
        <v>46</v>
      </c>
      <c r="I10" s="73"/>
      <c r="J10" s="8"/>
      <c r="K10" s="8"/>
      <c r="L10" s="8"/>
      <c r="M10" s="8"/>
      <c r="N10" s="8"/>
      <c r="O10" s="8"/>
      <c r="P10" s="8"/>
      <c r="Q10" s="8"/>
      <c r="R10" s="8"/>
      <c r="S10" s="8"/>
      <c r="T10" s="8"/>
      <c r="U10" s="8"/>
      <c r="V10" s="8"/>
      <c r="W10" s="8"/>
      <c r="X10" s="8"/>
      <c r="Y10" s="8"/>
      <c r="Z10" s="8"/>
      <c r="AA10" s="8"/>
    </row>
    <row r="11" spans="1:27" ht="12.75" customHeight="1" x14ac:dyDescent="0.2">
      <c r="A11" s="73"/>
      <c r="B11" s="137">
        <v>1</v>
      </c>
      <c r="C11" s="138" t="str">
        <f>'Test case List'!C9</f>
        <v>Cập nhật thông tin cá nhân</v>
      </c>
      <c r="D11" s="137">
        <f>'1. Cập nhật ttcn'!H3</f>
        <v>8</v>
      </c>
      <c r="E11" s="137">
        <f>'1. Cập nhật ttcn'!H4</f>
        <v>2</v>
      </c>
      <c r="F11" s="137">
        <f>'1. Cập nhật ttcn'!H5</f>
        <v>23</v>
      </c>
      <c r="G11" s="137">
        <f>'1. Cập nhật ttcn'!H6</f>
        <v>0</v>
      </c>
      <c r="H11" s="137">
        <f>'1. Cập nhật ttcn'!H2</f>
        <v>33</v>
      </c>
      <c r="I11" s="73"/>
      <c r="J11" s="8"/>
      <c r="K11" s="8"/>
      <c r="L11" s="8"/>
      <c r="M11" s="8"/>
      <c r="N11" s="8"/>
      <c r="O11" s="8"/>
      <c r="P11" s="8"/>
      <c r="Q11" s="8"/>
      <c r="R11" s="8"/>
      <c r="S11" s="8"/>
      <c r="T11" s="8"/>
      <c r="U11" s="8"/>
      <c r="V11" s="8"/>
      <c r="W11" s="8"/>
      <c r="X11" s="8"/>
      <c r="Y11" s="8"/>
      <c r="Z11" s="8"/>
      <c r="AA11" s="8"/>
    </row>
    <row r="12" spans="1:27" ht="12.75" customHeight="1" x14ac:dyDescent="0.2">
      <c r="A12" s="73"/>
      <c r="B12" s="137">
        <v>2</v>
      </c>
      <c r="C12" s="138" t="str">
        <f>'Test case List'!C10</f>
        <v>Đăng ký đề tài</v>
      </c>
      <c r="D12" s="137">
        <f>'2. Đăng ký ĐT'!H3</f>
        <v>4</v>
      </c>
      <c r="E12" s="137">
        <f>'2. Đăng ký ĐT'!H4</f>
        <v>0</v>
      </c>
      <c r="F12" s="137">
        <f>'2. Đăng ký ĐT'!H5</f>
        <v>20</v>
      </c>
      <c r="G12" s="137">
        <f>'2. Đăng ký ĐT'!H6</f>
        <v>0</v>
      </c>
      <c r="H12" s="137">
        <f>'2. Đăng ký ĐT'!H2</f>
        <v>34</v>
      </c>
      <c r="I12" s="73"/>
      <c r="J12" s="8"/>
      <c r="K12" s="8"/>
      <c r="L12" s="8"/>
      <c r="M12" s="8"/>
      <c r="N12" s="8"/>
      <c r="O12" s="8"/>
      <c r="P12" s="8"/>
      <c r="Q12" s="8"/>
      <c r="R12" s="8"/>
      <c r="S12" s="8"/>
      <c r="T12" s="8"/>
      <c r="U12" s="8"/>
      <c r="V12" s="8"/>
      <c r="W12" s="8"/>
      <c r="X12" s="8"/>
      <c r="Y12" s="8"/>
      <c r="Z12" s="8"/>
      <c r="AA12" s="8"/>
    </row>
    <row r="13" spans="1:27" ht="12.75" customHeight="1" x14ac:dyDescent="0.2">
      <c r="A13" s="73"/>
      <c r="B13" s="137">
        <v>3</v>
      </c>
      <c r="C13" s="138" t="str">
        <f>'Test case List'!C11</f>
        <v>Đề xuất đề tài</v>
      </c>
      <c r="D13" s="137">
        <f>'3. Đề xuất ĐT'!H4</f>
        <v>0</v>
      </c>
      <c r="E13" s="137">
        <f>'3. Đề xuất ĐT'!H4</f>
        <v>0</v>
      </c>
      <c r="F13" s="137">
        <f>'3. Đề xuất ĐT'!H5</f>
        <v>26</v>
      </c>
      <c r="G13" s="137">
        <f>'3. Đề xuất ĐT'!H6</f>
        <v>0</v>
      </c>
      <c r="H13" s="137">
        <f t="shared" ref="H13:H20" si="0">SUM(D13:G13)</f>
        <v>26</v>
      </c>
      <c r="I13" s="73"/>
      <c r="J13" s="8"/>
      <c r="K13" s="8"/>
      <c r="L13" s="8"/>
      <c r="M13" s="8"/>
      <c r="N13" s="8"/>
      <c r="O13" s="8"/>
      <c r="P13" s="8"/>
      <c r="Q13" s="8"/>
      <c r="R13" s="8"/>
      <c r="S13" s="8"/>
      <c r="T13" s="8"/>
      <c r="U13" s="8"/>
      <c r="V13" s="8"/>
      <c r="W13" s="8"/>
      <c r="X13" s="8"/>
      <c r="Y13" s="8"/>
      <c r="Z13" s="8"/>
      <c r="AA13" s="8"/>
    </row>
    <row r="14" spans="1:27" ht="12.75" customHeight="1" x14ac:dyDescent="0.2">
      <c r="A14" s="73"/>
      <c r="B14" s="137">
        <v>4</v>
      </c>
      <c r="C14" s="138" t="str">
        <f>'Test case List'!C12</f>
        <v>Xem trạng thái đăng ký đề tài</v>
      </c>
      <c r="D14" s="137">
        <f>'4. Xem trạng thái đăng ký ĐT'!H3</f>
        <v>3</v>
      </c>
      <c r="E14" s="137">
        <f>'4. Xem trạng thái đăng ký ĐT'!H4</f>
        <v>0</v>
      </c>
      <c r="F14" s="137">
        <f>'4. Xem trạng thái đăng ký ĐT'!H5</f>
        <v>23</v>
      </c>
      <c r="G14" s="137">
        <f>'4. Xem trạng thái đăng ký ĐT'!H6</f>
        <v>0</v>
      </c>
      <c r="H14" s="137">
        <f t="shared" si="0"/>
        <v>26</v>
      </c>
      <c r="I14" s="73"/>
      <c r="J14" s="8"/>
      <c r="K14" s="8"/>
      <c r="L14" s="8"/>
      <c r="M14" s="8"/>
      <c r="N14" s="8"/>
      <c r="O14" s="8"/>
      <c r="P14" s="8"/>
      <c r="Q14" s="8"/>
      <c r="R14" s="8"/>
      <c r="S14" s="8"/>
      <c r="T14" s="8"/>
      <c r="U14" s="8"/>
      <c r="V14" s="8"/>
      <c r="W14" s="8"/>
      <c r="X14" s="8"/>
      <c r="Y14" s="8"/>
      <c r="Z14" s="8"/>
      <c r="AA14" s="8"/>
    </row>
    <row r="15" spans="1:27" ht="12.75" customHeight="1" x14ac:dyDescent="0.2">
      <c r="A15" s="73"/>
      <c r="B15" s="137">
        <v>5</v>
      </c>
      <c r="C15" s="138" t="str">
        <f>'Test case List'!C13</f>
        <v>Xem quy trình hướng dẫn</v>
      </c>
      <c r="D15" s="137">
        <f>'5. Xem quy trình hướng dẫn '!H3</f>
        <v>18</v>
      </c>
      <c r="E15" s="137">
        <f>'5. Xem quy trình hướng dẫn '!H4</f>
        <v>0</v>
      </c>
      <c r="F15" s="137">
        <f>'5. Xem quy trình hướng dẫn '!H5</f>
        <v>2</v>
      </c>
      <c r="G15" s="137">
        <f>'5. Xem quy trình hướng dẫn '!H6</f>
        <v>0</v>
      </c>
      <c r="H15" s="137">
        <f t="shared" si="0"/>
        <v>20</v>
      </c>
      <c r="I15" s="73"/>
      <c r="J15" s="8"/>
      <c r="K15" s="8"/>
      <c r="L15" s="8"/>
      <c r="M15" s="8"/>
      <c r="N15" s="8"/>
      <c r="O15" s="8"/>
      <c r="P15" s="8"/>
      <c r="Q15" s="8"/>
      <c r="R15" s="8"/>
      <c r="S15" s="8"/>
      <c r="T15" s="8"/>
      <c r="U15" s="8"/>
      <c r="V15" s="8"/>
      <c r="W15" s="8"/>
      <c r="X15" s="8"/>
      <c r="Y15" s="8"/>
      <c r="Z15" s="8"/>
      <c r="AA15" s="8"/>
    </row>
    <row r="16" spans="1:27" ht="12.75" customHeight="1" x14ac:dyDescent="0.2">
      <c r="A16" s="73"/>
      <c r="B16" s="137">
        <v>6</v>
      </c>
      <c r="C16" s="138" t="str">
        <f>'Test case List'!C14</f>
        <v>Nộp báo cáo tuần</v>
      </c>
      <c r="D16" s="137">
        <f>'6. Nộp báo cáo tuần'!H3</f>
        <v>9</v>
      </c>
      <c r="E16" s="137">
        <f>'1. Cập nhật ttcn'!H4</f>
        <v>2</v>
      </c>
      <c r="F16" s="137">
        <f>'1. Cập nhật ttcn'!H5</f>
        <v>23</v>
      </c>
      <c r="G16" s="137">
        <f>'1. Cập nhật ttcn'!H6</f>
        <v>0</v>
      </c>
      <c r="H16" s="137">
        <f t="shared" si="0"/>
        <v>34</v>
      </c>
      <c r="I16" s="73"/>
      <c r="J16" s="8"/>
      <c r="K16" s="8"/>
      <c r="L16" s="8"/>
      <c r="M16" s="8"/>
      <c r="N16" s="8"/>
      <c r="O16" s="8"/>
      <c r="P16" s="8"/>
      <c r="Q16" s="8"/>
      <c r="R16" s="8"/>
      <c r="S16" s="8"/>
      <c r="T16" s="8"/>
      <c r="U16" s="8"/>
      <c r="V16" s="8"/>
      <c r="W16" s="8"/>
      <c r="X16" s="8"/>
      <c r="Y16" s="8"/>
      <c r="Z16" s="8"/>
      <c r="AA16" s="8"/>
    </row>
    <row r="17" spans="1:27" ht="12.75" customHeight="1" x14ac:dyDescent="0.2">
      <c r="A17" s="73"/>
      <c r="B17" s="137">
        <v>7</v>
      </c>
      <c r="C17" s="138" t="str">
        <f>'Test case List'!C15</f>
        <v>Nộp báo cáo cuối</v>
      </c>
      <c r="D17" s="137">
        <f>'7. Nộp BC cuối'!H3</f>
        <v>6</v>
      </c>
      <c r="E17" s="137">
        <f>'7. Nộp BC cuối'!H4</f>
        <v>0</v>
      </c>
      <c r="F17" s="137">
        <f>'7. Nộp BC cuối'!H5</f>
        <v>14</v>
      </c>
      <c r="G17" s="137">
        <f>'7. Nộp BC cuối'!H6</f>
        <v>0</v>
      </c>
      <c r="H17" s="137">
        <f t="shared" si="0"/>
        <v>20</v>
      </c>
      <c r="I17" s="73"/>
      <c r="J17" s="8"/>
      <c r="K17" s="8"/>
      <c r="L17" s="8"/>
      <c r="M17" s="8"/>
      <c r="N17" s="8"/>
      <c r="O17" s="8"/>
      <c r="P17" s="8"/>
      <c r="Q17" s="8"/>
      <c r="R17" s="8"/>
      <c r="S17" s="8"/>
      <c r="T17" s="8"/>
      <c r="U17" s="8"/>
      <c r="V17" s="8"/>
      <c r="W17" s="8"/>
      <c r="X17" s="8"/>
      <c r="Y17" s="8"/>
      <c r="Z17" s="8"/>
      <c r="AA17" s="8"/>
    </row>
    <row r="18" spans="1:27" ht="12.75" customHeight="1" x14ac:dyDescent="0.2">
      <c r="A18" s="73"/>
      <c r="B18" s="137">
        <v>8</v>
      </c>
      <c r="C18" s="138" t="str">
        <f>'Test case List'!C16</f>
        <v>Xem thông tin phản biện</v>
      </c>
      <c r="D18" s="137">
        <f>'8. Xem PB'!H3</f>
        <v>19</v>
      </c>
      <c r="E18" s="137">
        <f>'8. Xem PB'!H4</f>
        <v>0</v>
      </c>
      <c r="F18" s="137">
        <f>'8. Xem PB'!H5</f>
        <v>7</v>
      </c>
      <c r="G18" s="137">
        <f>'8. Xem PB'!H6</f>
        <v>0</v>
      </c>
      <c r="H18" s="137">
        <f>SUM(D18:G18)</f>
        <v>26</v>
      </c>
      <c r="I18" s="73"/>
      <c r="J18" s="8"/>
      <c r="K18" s="8"/>
      <c r="L18" s="8"/>
      <c r="M18" s="8"/>
      <c r="N18" s="8"/>
      <c r="O18" s="8"/>
      <c r="P18" s="8"/>
      <c r="Q18" s="8"/>
      <c r="R18" s="8"/>
      <c r="S18" s="8"/>
      <c r="T18" s="8"/>
      <c r="U18" s="8"/>
      <c r="V18" s="8"/>
      <c r="W18" s="8"/>
      <c r="X18" s="8"/>
      <c r="Y18" s="8"/>
      <c r="Z18" s="8"/>
      <c r="AA18" s="8"/>
    </row>
    <row r="19" spans="1:27" ht="12.75" customHeight="1" x14ac:dyDescent="0.2">
      <c r="A19" s="73"/>
      <c r="B19" s="137">
        <v>9</v>
      </c>
      <c r="C19" s="138" t="str">
        <f>'Test case List'!C17</f>
        <v>Xem thông tin hội đồng bảo vệ</v>
      </c>
      <c r="D19" s="137">
        <f>'9. Xem HĐBV'!H3</f>
        <v>2</v>
      </c>
      <c r="E19" s="137">
        <f>'9. Xem HĐBV'!H4</f>
        <v>0</v>
      </c>
      <c r="F19" s="137">
        <f>'9. Xem HĐBV'!H5</f>
        <v>8</v>
      </c>
      <c r="G19" s="137">
        <f>'9. Xem HĐBV'!H6</f>
        <v>0</v>
      </c>
      <c r="H19" s="137">
        <f t="shared" si="0"/>
        <v>10</v>
      </c>
      <c r="I19" s="73"/>
      <c r="J19" s="8"/>
      <c r="K19" s="8"/>
      <c r="L19" s="8"/>
      <c r="M19" s="8"/>
      <c r="N19" s="8"/>
      <c r="O19" s="8"/>
      <c r="P19" s="8"/>
      <c r="Q19" s="8"/>
      <c r="R19" s="8"/>
      <c r="S19" s="8"/>
      <c r="T19" s="8"/>
      <c r="U19" s="8"/>
      <c r="V19" s="8"/>
      <c r="W19" s="8"/>
      <c r="X19" s="8"/>
      <c r="Y19" s="8"/>
      <c r="Z19" s="8"/>
      <c r="AA19" s="8"/>
    </row>
    <row r="20" spans="1:27" ht="12.75" customHeight="1" x14ac:dyDescent="0.2">
      <c r="A20" s="73"/>
      <c r="B20" s="137">
        <v>10</v>
      </c>
      <c r="C20" s="138" t="str">
        <f>'Test case List'!C18</f>
        <v>Đăng nhập</v>
      </c>
      <c r="D20" s="137">
        <f>'10. Đăng nhập'!H3</f>
        <v>24</v>
      </c>
      <c r="E20" s="137">
        <f>'10. Đăng nhập'!H4</f>
        <v>12</v>
      </c>
      <c r="F20" s="137">
        <f>'10. Đăng nhập'!H5</f>
        <v>0</v>
      </c>
      <c r="G20" s="137">
        <f>'10. Đăng nhập'!H6</f>
        <v>0</v>
      </c>
      <c r="H20" s="137">
        <f t="shared" si="0"/>
        <v>36</v>
      </c>
      <c r="I20" s="73"/>
      <c r="J20" s="8"/>
      <c r="K20" s="8"/>
      <c r="L20" s="8"/>
      <c r="M20" s="8"/>
      <c r="N20" s="8"/>
      <c r="O20" s="8"/>
      <c r="P20" s="8"/>
      <c r="Q20" s="8"/>
      <c r="R20" s="8"/>
      <c r="S20" s="8"/>
      <c r="T20" s="8"/>
      <c r="U20" s="8"/>
      <c r="V20" s="8"/>
      <c r="W20" s="8"/>
      <c r="X20" s="8"/>
      <c r="Y20" s="8"/>
      <c r="Z20" s="8"/>
      <c r="AA20" s="8"/>
    </row>
    <row r="21" spans="1:27" ht="12.75" customHeight="1" x14ac:dyDescent="0.2">
      <c r="A21" s="73"/>
      <c r="B21" s="137"/>
      <c r="C21" s="139"/>
      <c r="D21" s="137"/>
      <c r="E21" s="137"/>
      <c r="F21" s="137"/>
      <c r="G21" s="137"/>
      <c r="H21" s="137"/>
      <c r="I21" s="73"/>
      <c r="J21" s="8"/>
      <c r="K21" s="8"/>
      <c r="L21" s="8"/>
      <c r="M21" s="8"/>
      <c r="N21" s="8"/>
      <c r="O21" s="8"/>
      <c r="P21" s="8"/>
      <c r="Q21" s="8"/>
      <c r="R21" s="8"/>
      <c r="S21" s="8"/>
      <c r="T21" s="8"/>
      <c r="U21" s="8"/>
      <c r="V21" s="8"/>
      <c r="W21" s="8"/>
      <c r="X21" s="8"/>
      <c r="Y21" s="8"/>
      <c r="Z21" s="8"/>
      <c r="AA21" s="8"/>
    </row>
    <row r="22" spans="1:27" ht="12.75" customHeight="1" x14ac:dyDescent="0.2">
      <c r="A22" s="73"/>
      <c r="B22" s="140"/>
      <c r="C22" s="141" t="s">
        <v>47</v>
      </c>
      <c r="D22" s="140">
        <f t="shared" ref="D22:H22" si="1">SUM(D11:D20)</f>
        <v>93</v>
      </c>
      <c r="E22" s="140">
        <f t="shared" si="1"/>
        <v>16</v>
      </c>
      <c r="F22" s="140">
        <f t="shared" si="1"/>
        <v>146</v>
      </c>
      <c r="G22" s="140">
        <f t="shared" si="1"/>
        <v>0</v>
      </c>
      <c r="H22" s="140">
        <f t="shared" si="1"/>
        <v>265</v>
      </c>
      <c r="I22" s="73"/>
      <c r="J22" s="8"/>
      <c r="K22" s="8"/>
      <c r="L22" s="8"/>
      <c r="M22" s="8"/>
      <c r="N22" s="8"/>
      <c r="O22" s="8"/>
      <c r="P22" s="8"/>
      <c r="Q22" s="8"/>
      <c r="R22" s="8"/>
      <c r="S22" s="8"/>
      <c r="T22" s="8"/>
      <c r="U22" s="8"/>
      <c r="V22" s="8"/>
      <c r="W22" s="8"/>
      <c r="X22" s="8"/>
      <c r="Y22" s="8"/>
      <c r="Z22" s="8"/>
      <c r="AA22" s="8"/>
    </row>
    <row r="23" spans="1:27" ht="12.75" customHeight="1" x14ac:dyDescent="0.2">
      <c r="A23" s="8"/>
      <c r="B23" s="74"/>
      <c r="C23" s="8"/>
      <c r="D23" s="75"/>
      <c r="E23" s="76"/>
      <c r="F23" s="76"/>
      <c r="G23" s="76"/>
      <c r="H23" s="76"/>
      <c r="I23" s="76"/>
      <c r="J23" s="8"/>
      <c r="K23" s="8"/>
      <c r="L23" s="8"/>
      <c r="M23" s="8"/>
      <c r="N23" s="8"/>
      <c r="O23" s="8"/>
      <c r="P23" s="8"/>
      <c r="Q23" s="8"/>
      <c r="R23" s="8"/>
      <c r="S23" s="8"/>
      <c r="T23" s="8"/>
      <c r="U23" s="8"/>
      <c r="V23" s="8"/>
      <c r="W23" s="8"/>
      <c r="X23" s="8"/>
      <c r="Y23" s="8"/>
      <c r="Z23" s="8"/>
      <c r="AA23" s="8"/>
    </row>
    <row r="24" spans="1:27" ht="12.75" customHeight="1" x14ac:dyDescent="0.2">
      <c r="A24" s="8"/>
      <c r="B24" s="8"/>
      <c r="C24" s="6" t="s">
        <v>48</v>
      </c>
      <c r="D24" s="77">
        <f>ROUND((D22+E22)*100/H22,2)</f>
        <v>41.13</v>
      </c>
      <c r="E24" s="8" t="s">
        <v>49</v>
      </c>
      <c r="F24" s="8"/>
      <c r="G24" s="8"/>
      <c r="H24" s="8"/>
      <c r="I24" s="59"/>
      <c r="J24" s="8"/>
      <c r="K24" s="8"/>
      <c r="L24" s="8"/>
      <c r="M24" s="8"/>
      <c r="N24" s="8"/>
      <c r="O24" s="8"/>
      <c r="P24" s="8"/>
      <c r="Q24" s="8"/>
      <c r="R24" s="8"/>
      <c r="S24" s="8"/>
      <c r="T24" s="8"/>
      <c r="U24" s="8"/>
      <c r="V24" s="8"/>
      <c r="W24" s="8"/>
      <c r="X24" s="8"/>
      <c r="Y24" s="8"/>
      <c r="Z24" s="8"/>
      <c r="AA24" s="8"/>
    </row>
    <row r="25" spans="1:27" ht="12.75" customHeight="1" x14ac:dyDescent="0.2">
      <c r="A25" s="8"/>
      <c r="B25" s="8"/>
      <c r="C25" s="6" t="s">
        <v>50</v>
      </c>
      <c r="D25" s="78">
        <f>D22*100/(D22+E22)</f>
        <v>85.321100917431195</v>
      </c>
      <c r="E25" s="8" t="s">
        <v>49</v>
      </c>
      <c r="F25" s="8"/>
      <c r="G25" s="8"/>
      <c r="H25" s="8"/>
      <c r="I25" s="59"/>
      <c r="J25" s="8"/>
      <c r="K25" s="8"/>
      <c r="L25" s="8"/>
      <c r="M25" s="8"/>
      <c r="N25" s="8"/>
      <c r="O25" s="8"/>
      <c r="P25" s="8"/>
      <c r="Q25" s="8"/>
      <c r="R25" s="8"/>
      <c r="S25" s="8"/>
      <c r="T25" s="8"/>
      <c r="U25" s="8"/>
      <c r="V25" s="8"/>
      <c r="W25" s="8"/>
      <c r="X25" s="8"/>
      <c r="Y25" s="8"/>
      <c r="Z25" s="8"/>
      <c r="AA25" s="8"/>
    </row>
    <row r="26" spans="1:27" ht="12.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ht="12.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ht="12.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ht="12.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ht="12.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ht="12.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ht="12.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ht="12.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ht="12.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ht="12.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ht="12.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ht="12.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ht="12.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ht="12.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ht="12.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2.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ht="12.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ht="12.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ht="12.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ht="12.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ht="12.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ht="12.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ht="12.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ht="12.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ht="12.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ht="12.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ht="12.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ht="12.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ht="12.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ht="12.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ht="12.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ht="12.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ht="12.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ht="12.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ht="12.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ht="12.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ht="12.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ht="12.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ht="12.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ht="12.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ht="12.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ht="12.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ht="12.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ht="12.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ht="12.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ht="12.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ht="12.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ht="12.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ht="12.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ht="12.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ht="12.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ht="12.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ht="12.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ht="12.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ht="12.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ht="12.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ht="12.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ht="12.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ht="12.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ht="12.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ht="12.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ht="12.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ht="12.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2.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2.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2.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2.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2.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2.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2.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2.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2.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2.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2.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2.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2.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2.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2.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2.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2.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2.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2.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2.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2.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2.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2.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2.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2.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2.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2.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2.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2.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2.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2.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2.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2.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2.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2.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2.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2.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2.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2.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2.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2.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2.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2.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2.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2.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2.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2.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2.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2.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2.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2.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2.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2.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2.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2.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2.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2.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2.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2.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2.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2.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2.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2.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2.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2.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2.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2.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2.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2.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2.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2.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2.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2.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2.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2.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2.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2.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2.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2.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2.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2.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2.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2.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2.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2.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2.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2.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2.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2.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2.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2.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2.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2.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2.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2.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2.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2.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2.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2.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2.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2.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2.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2.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2.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2.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2.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2.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2.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2.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2.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2.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2.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2.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2.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2.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2.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2.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2.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2.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2.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2.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2.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2.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2.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2.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2.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2.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2.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2.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2.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2.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2.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2.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2.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2.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2.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2.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2.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2.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5.75" customHeight="1" x14ac:dyDescent="0.2">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ht="15.75" customHeight="1" x14ac:dyDescent="0.2">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ht="15.75" customHeight="1" x14ac:dyDescent="0.2">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ht="15.75" customHeight="1" x14ac:dyDescent="0.2">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ht="15.75" customHeight="1" x14ac:dyDescent="0.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ht="15.75" customHeight="1" x14ac:dyDescent="0.2">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ht="15.75" customHeight="1" x14ac:dyDescent="0.2">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ht="15.75" customHeight="1" x14ac:dyDescent="0.2">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ht="15.75" customHeight="1" x14ac:dyDescent="0.2">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ht="15.75" customHeight="1" x14ac:dyDescent="0.2">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ht="15.75" customHeight="1" x14ac:dyDescent="0.2">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ht="15.75" customHeight="1" x14ac:dyDescent="0.2">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ht="15.75" customHeight="1" x14ac:dyDescent="0.2">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ht="15.75" customHeight="1" x14ac:dyDescent="0.2">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ht="15.75" customHeight="1" x14ac:dyDescent="0.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ht="15.75" customHeight="1" x14ac:dyDescent="0.2">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ht="15.75" customHeight="1" x14ac:dyDescent="0.2">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ht="15.75" customHeight="1" x14ac:dyDescent="0.2">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ht="15.75" customHeight="1" x14ac:dyDescent="0.2">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ht="15.75" customHeight="1" x14ac:dyDescent="0.2">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ht="15.75" customHeight="1" x14ac:dyDescent="0.2">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ht="15.75" customHeight="1" x14ac:dyDescent="0.2">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ht="15.75" customHeight="1" x14ac:dyDescent="0.2">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ht="15.75" customHeight="1" x14ac:dyDescent="0.2">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ht="15.75" customHeight="1" x14ac:dyDescent="0.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ht="15.75" customHeight="1" x14ac:dyDescent="0.2">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ht="15.75" customHeight="1" x14ac:dyDescent="0.2">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ht="15.75" customHeight="1" x14ac:dyDescent="0.2">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ht="15.75" customHeight="1" x14ac:dyDescent="0.2">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ht="15.75" customHeight="1" x14ac:dyDescent="0.2">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ht="15.75" customHeight="1" x14ac:dyDescent="0.2">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ht="15.75" customHeight="1" x14ac:dyDescent="0.2">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ht="15.75" customHeight="1" x14ac:dyDescent="0.2">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ht="15.75" customHeight="1" x14ac:dyDescent="0.2">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ht="15.75" customHeight="1" x14ac:dyDescent="0.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ht="15.75" customHeight="1" x14ac:dyDescent="0.2">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ht="15.75" customHeight="1" x14ac:dyDescent="0.2">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ht="15.75" customHeight="1" x14ac:dyDescent="0.2">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ht="15.75" customHeight="1" x14ac:dyDescent="0.2">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ht="15.75" customHeight="1" x14ac:dyDescent="0.2">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ht="15.75" customHeight="1" x14ac:dyDescent="0.2">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ht="15.75" customHeight="1" x14ac:dyDescent="0.2">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ht="15.75" customHeight="1" x14ac:dyDescent="0.2">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ht="15.75" customHeight="1" x14ac:dyDescent="0.2">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ht="15.75" customHeight="1" x14ac:dyDescent="0.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ht="15.75" customHeight="1" x14ac:dyDescent="0.2">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ht="15.75" customHeight="1" x14ac:dyDescent="0.2">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ht="15.75" customHeight="1" x14ac:dyDescent="0.2">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ht="15.75" customHeight="1" x14ac:dyDescent="0.2">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ht="15.75" customHeight="1" x14ac:dyDescent="0.2">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ht="15.75" customHeight="1" x14ac:dyDescent="0.2">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ht="15.75" customHeight="1" x14ac:dyDescent="0.2">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ht="15.75" customHeight="1" x14ac:dyDescent="0.2">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ht="15.75" customHeight="1" x14ac:dyDescent="0.2">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ht="15.75" customHeight="1" x14ac:dyDescent="0.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ht="15.75" customHeight="1" x14ac:dyDescent="0.2">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ht="15.75" customHeight="1" x14ac:dyDescent="0.2">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ht="15.75" customHeight="1" x14ac:dyDescent="0.2">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ht="15.75" customHeight="1" x14ac:dyDescent="0.2">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ht="15.75" customHeight="1" x14ac:dyDescent="0.2">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ht="15.75" customHeight="1" x14ac:dyDescent="0.2">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ht="15.75" customHeight="1" x14ac:dyDescent="0.2">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ht="15.75" customHeight="1" x14ac:dyDescent="0.2">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ht="15.75" customHeight="1" x14ac:dyDescent="0.2">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ht="15.75" customHeight="1" x14ac:dyDescent="0.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ht="15.75" customHeight="1" x14ac:dyDescent="0.2">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ht="15.75" customHeight="1" x14ac:dyDescent="0.2">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ht="15.75" customHeight="1" x14ac:dyDescent="0.2">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ht="15.75" customHeight="1" x14ac:dyDescent="0.2">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ht="15.75" customHeight="1" x14ac:dyDescent="0.2">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ht="15.75" customHeight="1" x14ac:dyDescent="0.2">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ht="15.75" customHeight="1" x14ac:dyDescent="0.2">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ht="15.75" customHeight="1" x14ac:dyDescent="0.2">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ht="15.75" customHeight="1" x14ac:dyDescent="0.2">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ht="15.75" customHeight="1" x14ac:dyDescent="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ht="15.75" customHeight="1" x14ac:dyDescent="0.2">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ht="15.75" customHeight="1" x14ac:dyDescent="0.2">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ht="15.75" customHeight="1" x14ac:dyDescent="0.2">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ht="15.75" customHeight="1" x14ac:dyDescent="0.2">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ht="15.75" customHeight="1" x14ac:dyDescent="0.2">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ht="15.75" customHeight="1" x14ac:dyDescent="0.2">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ht="15.75" customHeight="1" x14ac:dyDescent="0.2">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ht="15.75" customHeight="1" x14ac:dyDescent="0.2">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ht="15.75" customHeight="1" x14ac:dyDescent="0.2">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ht="15.75" customHeight="1" x14ac:dyDescent="0.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ht="15.75" customHeight="1" x14ac:dyDescent="0.2">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ht="15.75" customHeight="1" x14ac:dyDescent="0.2">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ht="15.75" customHeight="1" x14ac:dyDescent="0.2">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ht="15.75" customHeight="1" x14ac:dyDescent="0.2">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ht="15.75" customHeight="1" x14ac:dyDescent="0.2">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ht="15.75" customHeight="1" x14ac:dyDescent="0.2">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ht="15.75" customHeight="1" x14ac:dyDescent="0.2">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ht="15.75" customHeight="1" x14ac:dyDescent="0.2">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ht="15.75" customHeight="1" x14ac:dyDescent="0.2">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ht="15.75" customHeight="1" x14ac:dyDescent="0.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ht="15.75" customHeight="1" x14ac:dyDescent="0.2">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ht="15.75" customHeight="1" x14ac:dyDescent="0.2">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ht="15.75" customHeight="1" x14ac:dyDescent="0.2">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ht="15.75" customHeight="1" x14ac:dyDescent="0.2">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ht="15.75" customHeight="1" x14ac:dyDescent="0.2">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ht="15.75" customHeight="1" x14ac:dyDescent="0.2">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ht="15.75" customHeight="1" x14ac:dyDescent="0.2">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ht="15.75" customHeight="1" x14ac:dyDescent="0.2">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ht="15.75" customHeight="1" x14ac:dyDescent="0.2">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ht="15.75" customHeight="1" x14ac:dyDescent="0.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ht="15.75" customHeight="1" x14ac:dyDescent="0.2">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ht="15.75" customHeight="1" x14ac:dyDescent="0.2">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ht="15.75" customHeight="1" x14ac:dyDescent="0.2">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ht="15.75" customHeight="1" x14ac:dyDescent="0.2">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ht="15.75" customHeight="1" x14ac:dyDescent="0.2">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ht="15.75" customHeight="1" x14ac:dyDescent="0.2">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ht="15.75" customHeight="1" x14ac:dyDescent="0.2">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ht="15.75" customHeight="1" x14ac:dyDescent="0.2">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ht="15.75" customHeight="1" x14ac:dyDescent="0.2">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ht="15.75" customHeight="1" x14ac:dyDescent="0.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ht="15.75" customHeight="1" x14ac:dyDescent="0.2">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ht="15.75" customHeight="1" x14ac:dyDescent="0.2">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ht="15.75" customHeight="1" x14ac:dyDescent="0.2">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ht="15.75" customHeight="1" x14ac:dyDescent="0.2">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ht="15.75" customHeight="1" x14ac:dyDescent="0.2">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ht="15.75" customHeight="1" x14ac:dyDescent="0.2">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ht="15.75" customHeight="1" x14ac:dyDescent="0.2">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ht="15.75" customHeight="1" x14ac:dyDescent="0.2">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ht="15.75" customHeight="1" x14ac:dyDescent="0.2">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ht="15.75" customHeight="1" x14ac:dyDescent="0.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ht="15.75" customHeight="1" x14ac:dyDescent="0.2">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ht="15.75" customHeight="1" x14ac:dyDescent="0.2">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ht="15.75" customHeight="1" x14ac:dyDescent="0.2">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ht="15.75" customHeight="1" x14ac:dyDescent="0.2">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ht="15.75" customHeight="1" x14ac:dyDescent="0.2">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ht="15.75" customHeight="1" x14ac:dyDescent="0.2">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ht="15.75" customHeight="1" x14ac:dyDescent="0.2">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ht="15.75" customHeight="1" x14ac:dyDescent="0.2">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ht="15.75" customHeight="1" x14ac:dyDescent="0.2">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ht="15.75" customHeight="1" x14ac:dyDescent="0.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ht="15.75" customHeight="1" x14ac:dyDescent="0.2">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ht="15.75" customHeight="1" x14ac:dyDescent="0.2">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ht="15.75" customHeight="1" x14ac:dyDescent="0.2">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ht="15.75" customHeight="1" x14ac:dyDescent="0.2">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ht="15.75" customHeight="1" x14ac:dyDescent="0.2">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ht="15.75" customHeight="1" x14ac:dyDescent="0.2">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ht="15.75" customHeight="1" x14ac:dyDescent="0.2">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ht="15.75" customHeight="1" x14ac:dyDescent="0.2">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ht="15.75" customHeight="1" x14ac:dyDescent="0.2">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ht="15.75" customHeight="1" x14ac:dyDescent="0.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ht="15.75" customHeight="1" x14ac:dyDescent="0.2">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ht="15.75" customHeight="1" x14ac:dyDescent="0.2">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ht="15.75" customHeight="1" x14ac:dyDescent="0.2">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ht="15.75" customHeight="1" x14ac:dyDescent="0.2">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ht="15.75" customHeight="1" x14ac:dyDescent="0.2">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ht="15.75" customHeight="1" x14ac:dyDescent="0.2">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ht="15.75" customHeight="1" x14ac:dyDescent="0.2">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ht="15.75" customHeight="1" x14ac:dyDescent="0.2">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ht="15.75" customHeight="1" x14ac:dyDescent="0.2">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ht="15.75" customHeight="1" x14ac:dyDescent="0.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ht="15.75" customHeight="1" x14ac:dyDescent="0.2">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ht="15.75" customHeight="1" x14ac:dyDescent="0.2">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ht="15.75" customHeight="1" x14ac:dyDescent="0.2">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ht="15.75" customHeight="1" x14ac:dyDescent="0.2">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ht="15.75" customHeight="1" x14ac:dyDescent="0.2">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ht="15.75" customHeight="1" x14ac:dyDescent="0.2">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ht="15.75" customHeight="1" x14ac:dyDescent="0.2">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ht="15.75" customHeight="1" x14ac:dyDescent="0.2">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ht="15.75" customHeight="1" x14ac:dyDescent="0.2">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ht="15.75" customHeight="1" x14ac:dyDescent="0.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ht="15.75" customHeight="1" x14ac:dyDescent="0.2">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ht="15.75" customHeight="1" x14ac:dyDescent="0.2">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ht="15.75" customHeight="1" x14ac:dyDescent="0.2">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ht="15.75" customHeight="1" x14ac:dyDescent="0.2">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ht="15.75" customHeight="1" x14ac:dyDescent="0.2">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ht="15.75" customHeight="1" x14ac:dyDescent="0.2">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ht="15.75" customHeight="1" x14ac:dyDescent="0.2">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ht="15.75" customHeight="1" x14ac:dyDescent="0.2">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ht="15.75" customHeight="1" x14ac:dyDescent="0.2">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ht="15.75" customHeight="1" x14ac:dyDescent="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ht="15.75" customHeight="1" x14ac:dyDescent="0.2">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ht="15.75" customHeight="1" x14ac:dyDescent="0.2">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ht="15.75" customHeight="1" x14ac:dyDescent="0.2">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ht="15.75" customHeight="1" x14ac:dyDescent="0.2">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ht="15.75" customHeight="1" x14ac:dyDescent="0.2">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ht="15.75" customHeight="1" x14ac:dyDescent="0.2">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ht="15.75" customHeight="1" x14ac:dyDescent="0.2">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ht="15.75" customHeight="1" x14ac:dyDescent="0.2">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ht="15.75" customHeight="1" x14ac:dyDescent="0.2">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ht="15.75" customHeight="1" x14ac:dyDescent="0.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ht="15.75" customHeight="1" x14ac:dyDescent="0.2">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ht="15.75" customHeight="1" x14ac:dyDescent="0.2">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ht="15.75" customHeight="1" x14ac:dyDescent="0.2">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ht="15.75" customHeight="1" x14ac:dyDescent="0.2">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ht="15.75" customHeight="1" x14ac:dyDescent="0.2">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ht="15.75" customHeight="1" x14ac:dyDescent="0.2">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ht="15.75" customHeight="1" x14ac:dyDescent="0.2">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ht="15.75" customHeight="1" x14ac:dyDescent="0.2">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ht="15.75" customHeight="1" x14ac:dyDescent="0.2">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ht="15.75" customHeight="1" x14ac:dyDescent="0.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ht="15.75" customHeight="1" x14ac:dyDescent="0.2">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ht="15.75" customHeight="1" x14ac:dyDescent="0.2">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ht="15.75" customHeight="1" x14ac:dyDescent="0.2">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ht="15.75" customHeight="1" x14ac:dyDescent="0.2">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ht="15.75" customHeight="1" x14ac:dyDescent="0.2">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ht="15.75" customHeight="1" x14ac:dyDescent="0.2">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ht="15.75" customHeight="1" x14ac:dyDescent="0.2">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ht="15.75" customHeight="1" x14ac:dyDescent="0.2">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ht="15.75" customHeight="1" x14ac:dyDescent="0.2">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ht="15.75" customHeight="1" x14ac:dyDescent="0.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ht="15.75" customHeight="1" x14ac:dyDescent="0.2">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ht="15.75" customHeight="1" x14ac:dyDescent="0.2">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ht="15.75" customHeight="1" x14ac:dyDescent="0.2">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ht="15.75" customHeight="1" x14ac:dyDescent="0.2">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ht="15.75" customHeight="1" x14ac:dyDescent="0.2">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ht="15.75" customHeight="1" x14ac:dyDescent="0.2">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ht="15.75" customHeight="1" x14ac:dyDescent="0.2">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ht="15.75" customHeight="1" x14ac:dyDescent="0.2">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ht="15.75" customHeight="1" x14ac:dyDescent="0.2">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ht="15.75" customHeight="1" x14ac:dyDescent="0.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ht="15.75" customHeight="1" x14ac:dyDescent="0.2">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ht="15.75" customHeight="1" x14ac:dyDescent="0.2">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ht="15.75" customHeight="1" x14ac:dyDescent="0.2">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ht="15.75" customHeight="1" x14ac:dyDescent="0.2">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ht="15.75" customHeight="1" x14ac:dyDescent="0.2">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ht="15.75" customHeight="1" x14ac:dyDescent="0.2">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ht="15.75" customHeight="1" x14ac:dyDescent="0.2">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ht="15.75" customHeight="1" x14ac:dyDescent="0.2">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ht="15.75" customHeight="1" x14ac:dyDescent="0.2">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ht="15.75" customHeight="1" x14ac:dyDescent="0.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ht="15.75" customHeight="1" x14ac:dyDescent="0.2">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ht="15.75" customHeight="1" x14ac:dyDescent="0.2">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ht="15.75" customHeight="1" x14ac:dyDescent="0.2">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ht="15.75" customHeight="1" x14ac:dyDescent="0.2">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ht="15.75" customHeight="1" x14ac:dyDescent="0.2">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ht="15.75" customHeight="1" x14ac:dyDescent="0.2">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ht="15.75" customHeight="1" x14ac:dyDescent="0.2">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ht="15.75" customHeight="1" x14ac:dyDescent="0.2">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ht="15.75" customHeight="1" x14ac:dyDescent="0.2">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ht="15.75" customHeight="1" x14ac:dyDescent="0.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ht="15.75" customHeight="1" x14ac:dyDescent="0.2">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ht="15.75" customHeight="1" x14ac:dyDescent="0.2">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ht="15.75" customHeight="1" x14ac:dyDescent="0.2">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ht="15.75" customHeight="1" x14ac:dyDescent="0.2">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ht="15.75" customHeight="1" x14ac:dyDescent="0.2">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ht="15.75" customHeight="1" x14ac:dyDescent="0.2">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ht="15.75" customHeight="1" x14ac:dyDescent="0.2">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ht="15.75" customHeight="1" x14ac:dyDescent="0.2">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ht="15.75" customHeight="1" x14ac:dyDescent="0.2">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ht="15.75" customHeight="1" x14ac:dyDescent="0.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ht="15.75" customHeight="1" x14ac:dyDescent="0.2">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ht="15.75" customHeight="1" x14ac:dyDescent="0.2">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ht="15.75" customHeight="1" x14ac:dyDescent="0.2">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ht="15.75" customHeight="1" x14ac:dyDescent="0.2">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ht="15.75" customHeight="1" x14ac:dyDescent="0.2">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ht="15.75" customHeight="1" x14ac:dyDescent="0.2">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ht="15.75" customHeight="1" x14ac:dyDescent="0.2">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ht="15.75" customHeight="1" x14ac:dyDescent="0.2">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ht="15.75" customHeight="1" x14ac:dyDescent="0.2">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ht="15.75" customHeight="1" x14ac:dyDescent="0.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ht="15.75" customHeight="1" x14ac:dyDescent="0.2">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ht="15.75" customHeight="1" x14ac:dyDescent="0.2">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ht="15.75" customHeight="1" x14ac:dyDescent="0.2">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ht="15.75" customHeight="1" x14ac:dyDescent="0.2">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ht="15.75" customHeight="1" x14ac:dyDescent="0.2">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ht="15.75" customHeight="1" x14ac:dyDescent="0.2">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ht="15.75" customHeight="1" x14ac:dyDescent="0.2">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ht="15.75" customHeight="1" x14ac:dyDescent="0.2">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ht="15.75" customHeight="1" x14ac:dyDescent="0.2">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ht="15.75" customHeight="1" x14ac:dyDescent="0.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ht="15.75" customHeight="1" x14ac:dyDescent="0.2">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ht="15.75" customHeight="1" x14ac:dyDescent="0.2">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ht="15.75" customHeight="1" x14ac:dyDescent="0.2">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ht="15.75" customHeight="1" x14ac:dyDescent="0.2">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ht="15.75" customHeight="1" x14ac:dyDescent="0.2">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ht="15.75" customHeight="1" x14ac:dyDescent="0.2">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ht="15.75" customHeight="1" x14ac:dyDescent="0.2">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ht="15.75" customHeight="1" x14ac:dyDescent="0.2">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ht="15.75" customHeight="1" x14ac:dyDescent="0.2">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ht="15.75" customHeight="1" x14ac:dyDescent="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ht="15.75" customHeight="1" x14ac:dyDescent="0.2">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ht="15.75" customHeight="1" x14ac:dyDescent="0.2">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ht="15.75" customHeight="1" x14ac:dyDescent="0.2">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ht="15.75" customHeight="1" x14ac:dyDescent="0.2">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ht="15.75" customHeight="1" x14ac:dyDescent="0.2">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ht="15.75" customHeight="1" x14ac:dyDescent="0.2">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ht="15.75" customHeight="1" x14ac:dyDescent="0.2">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ht="15.75" customHeight="1" x14ac:dyDescent="0.2">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ht="15.75" customHeight="1" x14ac:dyDescent="0.2">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ht="15.75" customHeight="1" x14ac:dyDescent="0.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ht="15.75" customHeight="1" x14ac:dyDescent="0.2">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ht="15.75" customHeight="1" x14ac:dyDescent="0.2">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ht="15.75" customHeight="1" x14ac:dyDescent="0.2">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ht="15.75" customHeight="1" x14ac:dyDescent="0.2">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ht="15.75" customHeight="1" x14ac:dyDescent="0.2">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ht="15.75" customHeight="1" x14ac:dyDescent="0.2">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ht="15.75" customHeight="1" x14ac:dyDescent="0.2">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ht="15.75" customHeight="1" x14ac:dyDescent="0.2">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ht="15.75" customHeight="1" x14ac:dyDescent="0.2">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ht="15.75" customHeight="1" x14ac:dyDescent="0.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ht="15.75" customHeight="1" x14ac:dyDescent="0.2">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ht="15.75" customHeight="1" x14ac:dyDescent="0.2">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ht="15.75" customHeight="1" x14ac:dyDescent="0.2">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ht="15.75" customHeight="1" x14ac:dyDescent="0.2">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ht="15.75" customHeight="1" x14ac:dyDescent="0.2">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ht="15.75" customHeight="1" x14ac:dyDescent="0.2">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ht="15.75" customHeight="1" x14ac:dyDescent="0.2">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ht="15.75" customHeight="1" x14ac:dyDescent="0.2">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ht="15.75" customHeight="1" x14ac:dyDescent="0.2">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ht="15.75" customHeight="1" x14ac:dyDescent="0.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ht="15.75" customHeight="1" x14ac:dyDescent="0.2">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ht="15.75" customHeight="1" x14ac:dyDescent="0.2">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ht="15.75" customHeight="1" x14ac:dyDescent="0.2">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ht="15.75" customHeight="1" x14ac:dyDescent="0.2">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ht="15.75" customHeight="1" x14ac:dyDescent="0.2">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ht="15.75" customHeight="1" x14ac:dyDescent="0.2">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ht="15.75" customHeight="1" x14ac:dyDescent="0.2">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ht="15.75" customHeight="1" x14ac:dyDescent="0.2">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ht="15.75" customHeight="1" x14ac:dyDescent="0.2">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ht="15.75" customHeight="1" x14ac:dyDescent="0.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ht="15.75" customHeight="1" x14ac:dyDescent="0.2">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ht="15.75" customHeight="1" x14ac:dyDescent="0.2">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ht="15.75" customHeight="1" x14ac:dyDescent="0.2">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ht="15.75" customHeight="1" x14ac:dyDescent="0.2">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ht="15.75" customHeight="1" x14ac:dyDescent="0.2">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ht="15.75" customHeight="1" x14ac:dyDescent="0.2">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ht="15.75" customHeight="1" x14ac:dyDescent="0.2">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ht="15.75" customHeight="1" x14ac:dyDescent="0.2">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ht="15.75" customHeight="1" x14ac:dyDescent="0.2">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ht="15.75" customHeight="1" x14ac:dyDescent="0.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ht="15.75" customHeight="1" x14ac:dyDescent="0.2">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ht="15.75" customHeight="1" x14ac:dyDescent="0.2">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ht="15.75" customHeight="1" x14ac:dyDescent="0.2">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ht="15.75" customHeight="1" x14ac:dyDescent="0.2">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ht="15.75" customHeight="1" x14ac:dyDescent="0.2">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ht="15.75" customHeight="1" x14ac:dyDescent="0.2">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ht="15.75" customHeight="1" x14ac:dyDescent="0.2">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ht="15.75" customHeight="1" x14ac:dyDescent="0.2">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ht="15.75" customHeight="1" x14ac:dyDescent="0.2">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ht="15.75" customHeight="1" x14ac:dyDescent="0.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ht="15.75" customHeight="1" x14ac:dyDescent="0.2">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ht="15.75" customHeight="1" x14ac:dyDescent="0.2">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ht="15.75" customHeight="1" x14ac:dyDescent="0.2">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ht="15.75" customHeight="1" x14ac:dyDescent="0.2">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ht="15.75" customHeight="1" x14ac:dyDescent="0.2">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ht="15.75" customHeight="1" x14ac:dyDescent="0.2">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ht="15.75" customHeight="1" x14ac:dyDescent="0.2">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ht="15.75" customHeight="1" x14ac:dyDescent="0.2">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ht="15.75" customHeight="1" x14ac:dyDescent="0.2">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ht="15.75" customHeight="1" x14ac:dyDescent="0.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ht="15.75" customHeight="1" x14ac:dyDescent="0.2">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ht="15.75" customHeight="1" x14ac:dyDescent="0.2">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ht="15.75" customHeight="1" x14ac:dyDescent="0.2">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ht="15.75" customHeight="1" x14ac:dyDescent="0.2">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ht="15.75" customHeight="1" x14ac:dyDescent="0.2">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ht="15.75" customHeight="1" x14ac:dyDescent="0.2">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ht="15.75" customHeight="1" x14ac:dyDescent="0.2">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ht="15.75" customHeight="1" x14ac:dyDescent="0.2">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ht="15.75" customHeight="1" x14ac:dyDescent="0.2">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ht="15.75" customHeight="1" x14ac:dyDescent="0.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ht="15.75" customHeight="1" x14ac:dyDescent="0.2">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ht="15.75" customHeight="1" x14ac:dyDescent="0.2">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ht="15.75" customHeight="1" x14ac:dyDescent="0.2">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ht="15.75" customHeight="1" x14ac:dyDescent="0.2">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ht="15.75" customHeight="1" x14ac:dyDescent="0.2">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ht="15.75" customHeight="1" x14ac:dyDescent="0.2">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ht="15.75" customHeight="1" x14ac:dyDescent="0.2">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ht="15.75" customHeight="1" x14ac:dyDescent="0.2">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ht="15.75" customHeight="1" x14ac:dyDescent="0.2">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ht="15.75" customHeight="1" x14ac:dyDescent="0.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ht="15.75" customHeight="1" x14ac:dyDescent="0.2">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ht="15.75" customHeight="1" x14ac:dyDescent="0.2">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ht="15.75" customHeight="1" x14ac:dyDescent="0.2">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ht="15.75" customHeight="1" x14ac:dyDescent="0.2">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ht="15.75" customHeight="1" x14ac:dyDescent="0.2">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ht="15.75" customHeight="1" x14ac:dyDescent="0.2">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ht="15.75" customHeight="1" x14ac:dyDescent="0.2">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ht="15.75" customHeight="1" x14ac:dyDescent="0.2">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ht="15.75" customHeight="1" x14ac:dyDescent="0.2">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ht="15.75" customHeight="1" x14ac:dyDescent="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ht="15.75" customHeight="1" x14ac:dyDescent="0.2">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ht="15.75" customHeight="1" x14ac:dyDescent="0.2">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ht="15.75" customHeight="1" x14ac:dyDescent="0.2">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ht="15.75" customHeight="1" x14ac:dyDescent="0.2">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ht="15.75" customHeight="1" x14ac:dyDescent="0.2">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ht="15.75" customHeight="1" x14ac:dyDescent="0.2">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ht="15.75" customHeight="1" x14ac:dyDescent="0.2">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ht="15.75" customHeight="1" x14ac:dyDescent="0.2">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ht="15.75" customHeight="1" x14ac:dyDescent="0.2">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ht="15.75" customHeight="1" x14ac:dyDescent="0.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ht="15.75" customHeight="1" x14ac:dyDescent="0.2">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ht="15.75" customHeight="1" x14ac:dyDescent="0.2">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ht="15.75" customHeight="1" x14ac:dyDescent="0.2">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ht="15.75" customHeight="1" x14ac:dyDescent="0.2">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ht="15.75" customHeight="1" x14ac:dyDescent="0.2">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ht="15.75" customHeight="1" x14ac:dyDescent="0.2">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ht="15.75" customHeight="1" x14ac:dyDescent="0.2">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ht="15.75" customHeight="1" x14ac:dyDescent="0.2">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ht="15.75" customHeight="1" x14ac:dyDescent="0.2">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ht="15.75" customHeight="1" x14ac:dyDescent="0.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ht="15.75" customHeight="1" x14ac:dyDescent="0.2">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ht="15.75" customHeight="1" x14ac:dyDescent="0.2">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ht="15.75" customHeight="1" x14ac:dyDescent="0.2">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ht="15.75" customHeight="1" x14ac:dyDescent="0.2">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ht="15.75" customHeight="1" x14ac:dyDescent="0.2">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ht="15.75" customHeight="1" x14ac:dyDescent="0.2">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ht="15.75" customHeight="1" x14ac:dyDescent="0.2">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ht="15.75" customHeight="1" x14ac:dyDescent="0.2">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ht="15.75" customHeight="1" x14ac:dyDescent="0.2">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ht="15.75" customHeight="1" x14ac:dyDescent="0.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ht="15.75" customHeight="1" x14ac:dyDescent="0.2">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ht="15.75" customHeight="1" x14ac:dyDescent="0.2">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ht="15.75" customHeight="1" x14ac:dyDescent="0.2">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ht="15.75" customHeight="1" x14ac:dyDescent="0.2">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ht="15.75" customHeight="1" x14ac:dyDescent="0.2">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ht="15.75" customHeight="1" x14ac:dyDescent="0.2">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ht="15.75" customHeight="1" x14ac:dyDescent="0.2">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ht="15.75" customHeight="1" x14ac:dyDescent="0.2">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ht="15.75" customHeight="1" x14ac:dyDescent="0.2">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ht="15.75" customHeight="1" x14ac:dyDescent="0.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ht="15.75" customHeight="1" x14ac:dyDescent="0.2">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ht="15.75" customHeight="1" x14ac:dyDescent="0.2">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ht="15.75" customHeight="1" x14ac:dyDescent="0.2">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ht="15.75" customHeight="1" x14ac:dyDescent="0.2">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ht="15.75" customHeight="1" x14ac:dyDescent="0.2">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ht="15.75" customHeight="1" x14ac:dyDescent="0.2">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ht="15.75" customHeight="1" x14ac:dyDescent="0.2">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ht="15.75" customHeight="1" x14ac:dyDescent="0.2">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ht="15.75" customHeight="1" x14ac:dyDescent="0.2">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ht="15.75" customHeight="1" x14ac:dyDescent="0.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ht="15.75" customHeight="1" x14ac:dyDescent="0.2">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ht="15.75" customHeight="1" x14ac:dyDescent="0.2">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ht="15.75" customHeight="1" x14ac:dyDescent="0.2">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ht="15.75" customHeight="1" x14ac:dyDescent="0.2">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ht="15.75" customHeight="1" x14ac:dyDescent="0.2">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ht="15.75" customHeight="1" x14ac:dyDescent="0.2">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ht="15.75" customHeight="1" x14ac:dyDescent="0.2">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ht="15.75" customHeight="1" x14ac:dyDescent="0.2">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ht="15.75" customHeight="1" x14ac:dyDescent="0.2">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ht="15.75" customHeight="1" x14ac:dyDescent="0.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ht="15.75" customHeight="1" x14ac:dyDescent="0.2">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ht="15.75" customHeight="1" x14ac:dyDescent="0.2">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ht="15.75" customHeight="1" x14ac:dyDescent="0.2">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ht="15.75" customHeight="1" x14ac:dyDescent="0.2">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ht="15.75" customHeight="1" x14ac:dyDescent="0.2">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ht="15.75" customHeight="1" x14ac:dyDescent="0.2">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ht="15.75" customHeight="1" x14ac:dyDescent="0.2">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ht="15.75" customHeight="1" x14ac:dyDescent="0.2">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ht="15.75" customHeight="1" x14ac:dyDescent="0.2">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ht="15.75" customHeight="1" x14ac:dyDescent="0.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ht="15.75" customHeight="1" x14ac:dyDescent="0.2">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ht="15.75" customHeight="1" x14ac:dyDescent="0.2">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ht="15.75" customHeight="1" x14ac:dyDescent="0.2">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ht="15.75" customHeight="1" x14ac:dyDescent="0.2">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ht="15.75" customHeight="1" x14ac:dyDescent="0.2">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ht="15.75" customHeight="1" x14ac:dyDescent="0.2">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ht="15.75" customHeight="1" x14ac:dyDescent="0.2">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ht="15.75" customHeight="1" x14ac:dyDescent="0.2">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ht="15.75" customHeight="1" x14ac:dyDescent="0.2">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ht="15.75" customHeight="1" x14ac:dyDescent="0.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ht="15.75" customHeight="1" x14ac:dyDescent="0.2">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ht="15.75" customHeight="1" x14ac:dyDescent="0.2">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ht="15.75" customHeight="1" x14ac:dyDescent="0.2">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ht="15.75" customHeight="1" x14ac:dyDescent="0.2">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ht="15.75" customHeight="1" x14ac:dyDescent="0.2">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ht="15.75" customHeight="1" x14ac:dyDescent="0.2">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ht="15.75" customHeight="1" x14ac:dyDescent="0.2">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ht="15.75" customHeight="1" x14ac:dyDescent="0.2">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ht="15.75" customHeight="1" x14ac:dyDescent="0.2">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ht="15.75" customHeight="1" x14ac:dyDescent="0.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ht="15.75" customHeight="1" x14ac:dyDescent="0.2">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ht="15.75" customHeight="1" x14ac:dyDescent="0.2">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ht="15.75" customHeight="1" x14ac:dyDescent="0.2">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ht="15.75" customHeight="1" x14ac:dyDescent="0.2">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ht="15.75" customHeight="1" x14ac:dyDescent="0.2">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ht="15.75" customHeight="1" x14ac:dyDescent="0.2">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ht="15.75" customHeight="1" x14ac:dyDescent="0.2">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ht="15.75" customHeight="1" x14ac:dyDescent="0.2">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ht="15.75" customHeight="1" x14ac:dyDescent="0.2">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ht="15.75" customHeight="1" x14ac:dyDescent="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ht="15.75" customHeight="1" x14ac:dyDescent="0.2">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ht="15.75" customHeight="1" x14ac:dyDescent="0.2">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ht="15.75" customHeight="1" x14ac:dyDescent="0.2">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ht="15.75" customHeight="1" x14ac:dyDescent="0.2">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ht="15.75" customHeight="1" x14ac:dyDescent="0.2">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ht="15.75" customHeight="1" x14ac:dyDescent="0.2">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ht="15.75" customHeight="1" x14ac:dyDescent="0.2">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ht="15.75" customHeight="1" x14ac:dyDescent="0.2">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ht="15.75" customHeight="1" x14ac:dyDescent="0.2">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ht="15.75" customHeight="1" x14ac:dyDescent="0.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ht="15.75" customHeight="1" x14ac:dyDescent="0.2">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ht="15.75" customHeight="1" x14ac:dyDescent="0.2">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ht="15.75" customHeight="1" x14ac:dyDescent="0.2">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ht="15.75" customHeight="1" x14ac:dyDescent="0.2">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ht="15.75" customHeight="1" x14ac:dyDescent="0.2">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ht="15.75" customHeight="1" x14ac:dyDescent="0.2">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ht="15.75" customHeight="1" x14ac:dyDescent="0.2">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ht="15.75" customHeight="1" x14ac:dyDescent="0.2">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ht="15.75" customHeight="1" x14ac:dyDescent="0.2">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ht="15.75" customHeight="1" x14ac:dyDescent="0.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ht="15.75" customHeight="1" x14ac:dyDescent="0.2">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ht="15.75" customHeight="1" x14ac:dyDescent="0.2">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ht="15.75" customHeight="1" x14ac:dyDescent="0.2">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ht="15.75" customHeight="1" x14ac:dyDescent="0.2">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ht="15.75" customHeight="1" x14ac:dyDescent="0.2">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ht="15.75" customHeight="1" x14ac:dyDescent="0.2">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ht="15.75" customHeight="1" x14ac:dyDescent="0.2">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ht="15.75" customHeight="1" x14ac:dyDescent="0.2">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ht="15.75" customHeight="1" x14ac:dyDescent="0.2">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ht="15.75" customHeight="1" x14ac:dyDescent="0.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ht="15.75" customHeight="1" x14ac:dyDescent="0.2">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ht="15.75" customHeight="1" x14ac:dyDescent="0.2">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ht="15.75" customHeight="1" x14ac:dyDescent="0.2">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ht="15.75" customHeight="1" x14ac:dyDescent="0.2">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ht="15.75" customHeight="1" x14ac:dyDescent="0.2">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ht="15.75" customHeight="1" x14ac:dyDescent="0.2">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ht="15.75" customHeight="1" x14ac:dyDescent="0.2">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ht="15.75" customHeight="1" x14ac:dyDescent="0.2">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ht="15.75" customHeight="1" x14ac:dyDescent="0.2">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ht="15.75" customHeight="1" x14ac:dyDescent="0.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ht="15.75" customHeight="1" x14ac:dyDescent="0.2">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ht="15.75" customHeight="1" x14ac:dyDescent="0.2">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ht="15.75" customHeight="1" x14ac:dyDescent="0.2">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ht="15.75" customHeight="1" x14ac:dyDescent="0.2">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ht="15.75" customHeight="1" x14ac:dyDescent="0.2">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ht="15.75" customHeight="1" x14ac:dyDescent="0.2">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ht="15.75" customHeight="1" x14ac:dyDescent="0.2">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ht="15.75" customHeight="1" x14ac:dyDescent="0.2">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ht="15.75" customHeight="1" x14ac:dyDescent="0.2">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ht="15.75" customHeight="1" x14ac:dyDescent="0.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ht="15.75" customHeight="1" x14ac:dyDescent="0.2">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ht="15.75" customHeight="1" x14ac:dyDescent="0.2">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ht="15.75" customHeight="1" x14ac:dyDescent="0.2">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ht="15.75" customHeight="1" x14ac:dyDescent="0.2">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ht="15.75" customHeight="1" x14ac:dyDescent="0.2">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ht="15.75" customHeight="1" x14ac:dyDescent="0.2">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ht="15.75" customHeight="1" x14ac:dyDescent="0.2">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ht="15.75" customHeight="1" x14ac:dyDescent="0.2">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ht="15.75" customHeight="1" x14ac:dyDescent="0.2">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ht="15.75" customHeight="1" x14ac:dyDescent="0.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ht="15.75" customHeight="1" x14ac:dyDescent="0.2">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ht="15.75" customHeight="1" x14ac:dyDescent="0.2">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ht="15.75" customHeight="1" x14ac:dyDescent="0.2">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ht="15.75" customHeight="1" x14ac:dyDescent="0.2">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ht="15.75" customHeight="1" x14ac:dyDescent="0.2">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ht="15.75" customHeight="1" x14ac:dyDescent="0.2">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ht="15.75" customHeight="1" x14ac:dyDescent="0.2">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ht="15.75" customHeight="1" x14ac:dyDescent="0.2">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ht="15.75" customHeight="1" x14ac:dyDescent="0.2">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ht="15.75" customHeight="1" x14ac:dyDescent="0.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ht="15.75" customHeight="1" x14ac:dyDescent="0.2">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ht="15.75" customHeight="1" x14ac:dyDescent="0.2">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ht="15.75" customHeight="1" x14ac:dyDescent="0.2">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ht="15.75" customHeight="1" x14ac:dyDescent="0.2">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ht="15.75" customHeight="1" x14ac:dyDescent="0.2">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ht="15.75" customHeight="1" x14ac:dyDescent="0.2">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ht="15.75" customHeight="1" x14ac:dyDescent="0.2">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ht="15.75" customHeight="1" x14ac:dyDescent="0.2">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ht="15.75" customHeight="1" x14ac:dyDescent="0.2">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ht="15.75" customHeight="1" x14ac:dyDescent="0.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ht="15.75" customHeight="1" x14ac:dyDescent="0.2">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ht="15.75" customHeight="1" x14ac:dyDescent="0.2">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ht="15.75" customHeight="1" x14ac:dyDescent="0.2">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ht="15.75" customHeight="1" x14ac:dyDescent="0.2">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ht="15.75" customHeight="1" x14ac:dyDescent="0.2">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ht="15.75" customHeight="1" x14ac:dyDescent="0.2">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ht="15.75" customHeight="1" x14ac:dyDescent="0.2">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ht="15.75" customHeight="1" x14ac:dyDescent="0.2">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ht="15.75" customHeight="1" x14ac:dyDescent="0.2">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ht="15.75" customHeight="1" x14ac:dyDescent="0.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ht="15.75" customHeight="1" x14ac:dyDescent="0.2">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ht="15.75" customHeight="1" x14ac:dyDescent="0.2">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ht="15.75" customHeight="1" x14ac:dyDescent="0.2">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ht="15.75" customHeight="1" x14ac:dyDescent="0.2">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ht="15.75" customHeight="1" x14ac:dyDescent="0.2">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ht="15.75" customHeight="1" x14ac:dyDescent="0.2">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ht="15.75" customHeight="1" x14ac:dyDescent="0.2">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ht="15.75" customHeight="1" x14ac:dyDescent="0.2">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ht="15.75" customHeight="1" x14ac:dyDescent="0.2">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ht="15.75" customHeight="1" x14ac:dyDescent="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ht="15.75" customHeight="1" x14ac:dyDescent="0.2">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ht="15.75" customHeight="1" x14ac:dyDescent="0.2">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ht="15.75" customHeight="1" x14ac:dyDescent="0.2">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ht="15.75" customHeight="1" x14ac:dyDescent="0.2">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ht="15.75" customHeight="1" x14ac:dyDescent="0.2">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ht="15.75" customHeight="1" x14ac:dyDescent="0.2">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ht="15.75" customHeight="1" x14ac:dyDescent="0.2">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ht="15.75" customHeight="1" x14ac:dyDescent="0.2">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ht="15.75" customHeight="1" x14ac:dyDescent="0.2">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ht="15.75" customHeight="1" x14ac:dyDescent="0.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ht="15.75" customHeight="1" x14ac:dyDescent="0.2">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ht="15.75" customHeight="1" x14ac:dyDescent="0.2">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ht="15.75" customHeight="1" x14ac:dyDescent="0.2">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ht="15.75" customHeight="1" x14ac:dyDescent="0.2">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ht="15.75" customHeight="1" x14ac:dyDescent="0.2">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ht="15.75" customHeight="1" x14ac:dyDescent="0.2">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ht="15.75" customHeight="1" x14ac:dyDescent="0.2">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ht="15.75" customHeight="1" x14ac:dyDescent="0.2">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ht="15.75" customHeight="1" x14ac:dyDescent="0.2">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ht="15.75" customHeight="1" x14ac:dyDescent="0.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ht="15.75" customHeight="1" x14ac:dyDescent="0.2">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ht="15.75" customHeight="1" x14ac:dyDescent="0.2">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ht="15.75" customHeight="1" x14ac:dyDescent="0.2">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ht="15.75" customHeight="1" x14ac:dyDescent="0.2">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ht="15.75" customHeight="1" x14ac:dyDescent="0.2">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ht="15.75" customHeight="1" x14ac:dyDescent="0.2">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ht="15.75" customHeight="1" x14ac:dyDescent="0.2">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ht="15.75" customHeight="1" x14ac:dyDescent="0.2">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ht="15.75" customHeight="1" x14ac:dyDescent="0.2">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ht="15.75" customHeight="1" x14ac:dyDescent="0.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ht="15.75" customHeight="1" x14ac:dyDescent="0.2">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ht="15.75" customHeight="1" x14ac:dyDescent="0.2">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ht="15.75" customHeight="1" x14ac:dyDescent="0.2">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ht="15.75" customHeight="1" x14ac:dyDescent="0.2">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ht="15.75" customHeight="1" x14ac:dyDescent="0.2">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ht="15.75" customHeight="1" x14ac:dyDescent="0.2">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ht="15.75" customHeight="1" x14ac:dyDescent="0.2">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ht="15.75" customHeight="1" x14ac:dyDescent="0.2">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ht="15.75" customHeight="1" x14ac:dyDescent="0.2">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ht="15.75" customHeight="1" x14ac:dyDescent="0.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ht="15.75" customHeight="1" x14ac:dyDescent="0.2">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ht="15.75" customHeight="1" x14ac:dyDescent="0.2">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ht="15.75" customHeight="1" x14ac:dyDescent="0.2">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ht="15.75" customHeight="1" x14ac:dyDescent="0.2">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ht="15.75" customHeight="1" x14ac:dyDescent="0.2">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ht="15.75" customHeight="1" x14ac:dyDescent="0.2">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ht="15.75" customHeight="1" x14ac:dyDescent="0.2">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ht="15.75" customHeight="1" x14ac:dyDescent="0.2">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ht="15.75" customHeight="1" x14ac:dyDescent="0.2">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ht="15.75" customHeight="1" x14ac:dyDescent="0.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ht="15.75" customHeight="1" x14ac:dyDescent="0.2">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ht="15.75" customHeight="1" x14ac:dyDescent="0.2">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ht="15.75" customHeight="1" x14ac:dyDescent="0.2">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ht="15.75" customHeight="1" x14ac:dyDescent="0.2">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ht="15.75" customHeight="1" x14ac:dyDescent="0.2">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ht="15.75" customHeight="1" x14ac:dyDescent="0.2">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ht="15.75" customHeight="1" x14ac:dyDescent="0.2">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ht="15.75" customHeight="1" x14ac:dyDescent="0.2">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ht="15.75" customHeight="1" x14ac:dyDescent="0.2">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ht="15.75" customHeight="1" x14ac:dyDescent="0.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ht="15.75" customHeight="1" x14ac:dyDescent="0.2">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ht="15.75" customHeight="1" x14ac:dyDescent="0.2">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ht="15.75" customHeight="1" x14ac:dyDescent="0.2">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ht="15.75" customHeight="1" x14ac:dyDescent="0.2">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ht="15.75" customHeight="1" x14ac:dyDescent="0.2">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ht="15.75" customHeight="1" x14ac:dyDescent="0.2">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ht="15.75" customHeight="1" x14ac:dyDescent="0.2">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ht="15.75" customHeight="1" x14ac:dyDescent="0.2">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ht="15.75" customHeight="1" x14ac:dyDescent="0.2">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ht="15.75" customHeight="1" x14ac:dyDescent="0.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ht="15.75" customHeight="1" x14ac:dyDescent="0.2">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ht="15.75" customHeight="1" x14ac:dyDescent="0.2">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ht="15.75" customHeight="1" x14ac:dyDescent="0.2">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ht="15.75" customHeight="1" x14ac:dyDescent="0.2">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ht="15.75" customHeight="1" x14ac:dyDescent="0.2">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ht="15.75" customHeight="1" x14ac:dyDescent="0.2">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ht="15.75" customHeight="1" x14ac:dyDescent="0.2">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ht="15.75" customHeight="1" x14ac:dyDescent="0.2">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ht="15.75" customHeight="1" x14ac:dyDescent="0.2">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ht="15.75" customHeight="1" x14ac:dyDescent="0.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ht="15.75" customHeight="1" x14ac:dyDescent="0.2">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ht="15.75" customHeight="1" x14ac:dyDescent="0.2">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ht="15.75" customHeight="1" x14ac:dyDescent="0.2">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ht="15.75" customHeight="1" x14ac:dyDescent="0.2">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ht="15.75" customHeight="1" x14ac:dyDescent="0.2">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ht="15.75" customHeight="1" x14ac:dyDescent="0.2">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ht="15.75" customHeight="1" x14ac:dyDescent="0.2">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ht="15.75" customHeight="1" x14ac:dyDescent="0.2">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ht="15.75" customHeight="1" x14ac:dyDescent="0.2">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ht="15.75" customHeight="1" x14ac:dyDescent="0.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ht="15.75" customHeight="1" x14ac:dyDescent="0.2">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ht="15.75" customHeight="1" x14ac:dyDescent="0.2">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ht="15.75" customHeight="1" x14ac:dyDescent="0.2">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ht="15.75" customHeight="1" x14ac:dyDescent="0.2">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ht="15.75" customHeight="1" x14ac:dyDescent="0.2">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ht="15.75" customHeight="1" x14ac:dyDescent="0.2">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spans="1:27" ht="15.75" customHeight="1" x14ac:dyDescent="0.2">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row r="900" spans="1:27" ht="15.75" customHeight="1" x14ac:dyDescent="0.2">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row>
    <row r="901" spans="1:27" ht="15.75" customHeight="1" x14ac:dyDescent="0.2">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row>
    <row r="902" spans="1:27" ht="15.75" customHeight="1" x14ac:dyDescent="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row>
    <row r="903" spans="1:27" ht="15.75" customHeight="1" x14ac:dyDescent="0.2">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row>
    <row r="904" spans="1:27" ht="15.75" customHeight="1" x14ac:dyDescent="0.2">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row>
    <row r="905" spans="1:27" ht="15.75" customHeight="1" x14ac:dyDescent="0.2">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row>
    <row r="906" spans="1:27" ht="15.75" customHeight="1" x14ac:dyDescent="0.2">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row>
    <row r="907" spans="1:27" ht="15.75" customHeight="1" x14ac:dyDescent="0.2">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row>
    <row r="908" spans="1:27" ht="15.75" customHeight="1" x14ac:dyDescent="0.2">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row>
    <row r="909" spans="1:27" ht="15.75" customHeight="1" x14ac:dyDescent="0.2">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row>
    <row r="910" spans="1:27" ht="15.75" customHeight="1" x14ac:dyDescent="0.2">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row>
    <row r="911" spans="1:27" ht="15.75" customHeight="1" x14ac:dyDescent="0.2">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row>
    <row r="912" spans="1:27" ht="15.75" customHeight="1" x14ac:dyDescent="0.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row>
    <row r="913" spans="1:27" ht="15.75" customHeight="1" x14ac:dyDescent="0.2">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row>
    <row r="914" spans="1:27" ht="15.75" customHeight="1" x14ac:dyDescent="0.2">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row>
    <row r="915" spans="1:27" ht="15.75" customHeight="1" x14ac:dyDescent="0.2">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row>
    <row r="916" spans="1:27" ht="15.75" customHeight="1" x14ac:dyDescent="0.2">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row>
    <row r="917" spans="1:27" ht="15.75" customHeight="1" x14ac:dyDescent="0.2">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row>
    <row r="918" spans="1:27" ht="15.75" customHeight="1" x14ac:dyDescent="0.2">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row>
    <row r="919" spans="1:27" ht="15.75" customHeight="1" x14ac:dyDescent="0.2">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row>
    <row r="920" spans="1:27" ht="15.75" customHeight="1" x14ac:dyDescent="0.2">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row>
    <row r="921" spans="1:27" ht="15.75" customHeight="1" x14ac:dyDescent="0.2">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row>
    <row r="922" spans="1:27" ht="15.75" customHeight="1" x14ac:dyDescent="0.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row>
    <row r="923" spans="1:27" ht="15.75" customHeight="1" x14ac:dyDescent="0.2">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row>
    <row r="924" spans="1:27" ht="15.75" customHeight="1" x14ac:dyDescent="0.2">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row>
    <row r="925" spans="1:27" ht="15.75" customHeight="1" x14ac:dyDescent="0.2">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row>
    <row r="926" spans="1:27" ht="15.75" customHeight="1" x14ac:dyDescent="0.2">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row>
    <row r="927" spans="1:27" ht="15.75" customHeight="1" x14ac:dyDescent="0.2">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row>
    <row r="928" spans="1:27" ht="15.75" customHeight="1" x14ac:dyDescent="0.2">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row>
    <row r="929" spans="1:27" ht="15.75" customHeight="1" x14ac:dyDescent="0.2">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row>
    <row r="930" spans="1:27" ht="15.75" customHeight="1" x14ac:dyDescent="0.2">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row>
    <row r="931" spans="1:27" ht="15.75" customHeight="1" x14ac:dyDescent="0.2">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row>
    <row r="932" spans="1:27" ht="15.75" customHeight="1" x14ac:dyDescent="0.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row>
    <row r="933" spans="1:27" ht="15.75" customHeight="1" x14ac:dyDescent="0.2">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row>
    <row r="934" spans="1:27" ht="15.75" customHeight="1" x14ac:dyDescent="0.2">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row>
    <row r="935" spans="1:27" ht="15.75" customHeight="1" x14ac:dyDescent="0.2">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row>
    <row r="936" spans="1:27" ht="15.75" customHeight="1" x14ac:dyDescent="0.2">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row>
    <row r="937" spans="1:27" ht="15.75" customHeight="1" x14ac:dyDescent="0.2">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row>
    <row r="938" spans="1:27" ht="15.75" customHeight="1" x14ac:dyDescent="0.2">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row>
    <row r="939" spans="1:27" ht="15.75" customHeight="1" x14ac:dyDescent="0.2">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row>
    <row r="940" spans="1:27" ht="15.75" customHeight="1" x14ac:dyDescent="0.2">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row>
    <row r="941" spans="1:27" ht="15.75" customHeight="1" x14ac:dyDescent="0.2">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row>
    <row r="942" spans="1:27" ht="15.75" customHeight="1" x14ac:dyDescent="0.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row>
    <row r="943" spans="1:27" ht="15.75" customHeight="1" x14ac:dyDescent="0.2">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row>
    <row r="944" spans="1:27" ht="15.75" customHeight="1" x14ac:dyDescent="0.2">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row>
    <row r="945" spans="1:27" ht="15.75" customHeight="1" x14ac:dyDescent="0.2">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row>
    <row r="946" spans="1:27" ht="15.75" customHeight="1" x14ac:dyDescent="0.2">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row>
    <row r="947" spans="1:27" ht="15.75" customHeight="1" x14ac:dyDescent="0.2">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row>
    <row r="948" spans="1:27" ht="15.75" customHeight="1" x14ac:dyDescent="0.2">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row>
    <row r="949" spans="1:27" ht="15.75" customHeight="1" x14ac:dyDescent="0.2">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row>
    <row r="950" spans="1:27" ht="15.75" customHeight="1" x14ac:dyDescent="0.2">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row>
    <row r="951" spans="1:27" ht="15.75" customHeight="1" x14ac:dyDescent="0.2">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row>
    <row r="952" spans="1:27" ht="15.75" customHeight="1" x14ac:dyDescent="0.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row>
    <row r="953" spans="1:27" ht="15.75" customHeight="1" x14ac:dyDescent="0.2">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row>
    <row r="954" spans="1:27" ht="15.75" customHeight="1" x14ac:dyDescent="0.2">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row>
    <row r="955" spans="1:27" ht="15.75" customHeight="1" x14ac:dyDescent="0.2">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row>
    <row r="956" spans="1:27" ht="15.75" customHeight="1" x14ac:dyDescent="0.2">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row>
    <row r="957" spans="1:27" ht="15.75" customHeight="1" x14ac:dyDescent="0.2">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row>
    <row r="958" spans="1:27" ht="15.75" customHeight="1" x14ac:dyDescent="0.2">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row>
    <row r="959" spans="1:27" ht="15.75" customHeight="1" x14ac:dyDescent="0.2">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row>
    <row r="960" spans="1:27" ht="15.75" customHeight="1" x14ac:dyDescent="0.2">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row>
    <row r="961" spans="1:27" ht="15.75" customHeight="1" x14ac:dyDescent="0.2">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row>
    <row r="962" spans="1:27" ht="15.75" customHeight="1" x14ac:dyDescent="0.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row>
    <row r="963" spans="1:27" ht="15.75" customHeight="1" x14ac:dyDescent="0.2">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row>
    <row r="964" spans="1:27" ht="15.75" customHeight="1" x14ac:dyDescent="0.2">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row>
    <row r="965" spans="1:27" ht="15.75" customHeight="1" x14ac:dyDescent="0.2">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row>
    <row r="966" spans="1:27" ht="15.75" customHeight="1" x14ac:dyDescent="0.2">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row>
    <row r="967" spans="1:27" ht="15.75" customHeight="1" x14ac:dyDescent="0.2">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row>
    <row r="968" spans="1:27" ht="15.75" customHeight="1" x14ac:dyDescent="0.2">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row>
    <row r="969" spans="1:27" ht="15.75" customHeight="1" x14ac:dyDescent="0.2">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row>
    <row r="970" spans="1:27" ht="15.75" customHeight="1" x14ac:dyDescent="0.2">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row>
    <row r="971" spans="1:27" ht="15.75" customHeight="1" x14ac:dyDescent="0.2">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row>
    <row r="972" spans="1:27" ht="15.75" customHeight="1" x14ac:dyDescent="0.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row>
    <row r="973" spans="1:27" ht="15.75" customHeight="1" x14ac:dyDescent="0.2">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row>
    <row r="974" spans="1:27" ht="15.75" customHeight="1" x14ac:dyDescent="0.2">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row>
    <row r="975" spans="1:27" ht="15.75" customHeight="1" x14ac:dyDescent="0.2">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row>
    <row r="976" spans="1:27" ht="15.75" customHeight="1" x14ac:dyDescent="0.2">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row>
    <row r="977" spans="1:27" ht="15.75" customHeight="1" x14ac:dyDescent="0.2">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row>
    <row r="978" spans="1:27" ht="15.75" customHeight="1" x14ac:dyDescent="0.2">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row>
    <row r="979" spans="1:27" ht="15.75" customHeight="1" x14ac:dyDescent="0.2">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row>
    <row r="980" spans="1:27" ht="15.75" customHeight="1" x14ac:dyDescent="0.2">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row>
    <row r="981" spans="1:27" ht="15.75" customHeight="1" x14ac:dyDescent="0.2">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row>
    <row r="982" spans="1:27" ht="15.75" customHeight="1" x14ac:dyDescent="0.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row>
    <row r="983" spans="1:27" ht="15.75" customHeight="1" x14ac:dyDescent="0.2">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row>
    <row r="984" spans="1:27" ht="15.75" customHeight="1" x14ac:dyDescent="0.2">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row>
    <row r="985" spans="1:27" ht="15.75" customHeight="1" x14ac:dyDescent="0.2">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row>
    <row r="986" spans="1:27" ht="15.75" customHeight="1" x14ac:dyDescent="0.2">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row>
    <row r="987" spans="1:27" ht="15.75" customHeight="1" x14ac:dyDescent="0.2">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row>
    <row r="988" spans="1:27" ht="15.75" customHeight="1" x14ac:dyDescent="0.2">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row>
    <row r="989" spans="1:27" ht="15.75" customHeight="1" x14ac:dyDescent="0.2">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row>
    <row r="990" spans="1:27" ht="15.75" customHeight="1" x14ac:dyDescent="0.2">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row>
    <row r="991" spans="1:27" ht="15.75" customHeight="1" x14ac:dyDescent="0.2">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row>
    <row r="992" spans="1:27" ht="15.75" customHeight="1" x14ac:dyDescent="0.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row>
    <row r="993" spans="1:27" ht="15.75" customHeight="1" x14ac:dyDescent="0.2">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row>
    <row r="994" spans="1:27" ht="15.75" customHeight="1" x14ac:dyDescent="0.2">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row>
    <row r="995" spans="1:27" ht="15.75" customHeight="1" x14ac:dyDescent="0.2">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row>
    <row r="996" spans="1:27" ht="15.75" customHeight="1" x14ac:dyDescent="0.2">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row>
    <row r="997" spans="1:27" ht="15.75" customHeight="1" x14ac:dyDescent="0.2">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row>
    <row r="998" spans="1:27" ht="15.75" customHeight="1" x14ac:dyDescent="0.2">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row>
    <row r="999" spans="1:27" ht="15.75" customHeight="1" x14ac:dyDescent="0.2">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row>
    <row r="1000" spans="1:27" ht="15.75" customHeight="1" x14ac:dyDescent="0.2">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row>
    <row r="1001" spans="1:27" ht="15.75" customHeight="1" x14ac:dyDescent="0.2">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row>
    <row r="1002" spans="1:27" ht="15.75" customHeight="1" x14ac:dyDescent="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row>
    <row r="1003" spans="1:27" ht="15.75" customHeight="1" x14ac:dyDescent="0.2">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6"/>
    </row>
    <row r="1004" spans="1:27" ht="15.75" customHeight="1" x14ac:dyDescent="0.2">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6"/>
    </row>
    <row r="1005" spans="1:27" ht="15.75" customHeight="1" x14ac:dyDescent="0.2">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6"/>
    </row>
    <row r="1006" spans="1:27" ht="15.75" customHeight="1" x14ac:dyDescent="0.2">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6"/>
    </row>
    <row r="1007" spans="1:27" ht="15.75" customHeight="1" x14ac:dyDescent="0.2">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row>
  </sheetData>
  <mergeCells count="8">
    <mergeCell ref="C5:D5"/>
    <mergeCell ref="E5:G5"/>
    <mergeCell ref="C6:I6"/>
    <mergeCell ref="B1:I1"/>
    <mergeCell ref="C3:D3"/>
    <mergeCell ref="E3:G3"/>
    <mergeCell ref="C4:D4"/>
    <mergeCell ref="E4:G4"/>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Test case List</vt:lpstr>
      <vt:lpstr>1. Cập nhật ttcn</vt:lpstr>
      <vt:lpstr>2. Đăng ký ĐT</vt:lpstr>
      <vt:lpstr>3. Đề xuất ĐT</vt:lpstr>
      <vt:lpstr>4. Xem trạng thái đăng ký ĐT</vt:lpstr>
      <vt:lpstr>5. Xem quy trình hướng dẫn </vt:lpstr>
      <vt:lpstr>6. Nộp báo cáo tuần</vt:lpstr>
      <vt:lpstr>7. Nộp BC cuối</vt:lpstr>
      <vt:lpstr>8. Xem PB</vt:lpstr>
      <vt:lpstr>9. Xem HĐBV</vt:lpstr>
      <vt:lpstr>10. Đăng nhập</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2021-09-12T02:55:51Z</dcterms:created>
  <dcterms:modified xsi:type="dcterms:W3CDTF">2026-05-21T09:09:53Z</dcterms:modified>
</cp:coreProperties>
</file>